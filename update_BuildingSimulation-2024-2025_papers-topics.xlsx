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清华网盘\2026\"/>
    </mc:Choice>
  </mc:AlternateContent>
  <bookViews>
    <workbookView xWindow="-120" yWindow="-120" windowWidth="29040" windowHeight="15720" tabRatio="992" activeTab="1"/>
  </bookViews>
  <sheets>
    <sheet name="Sheet1" sheetId="23" r:id="rId1"/>
    <sheet name="主题分类检索" sheetId="3" r:id="rId2"/>
    <sheet name="HVAC" sheetId="14" r:id="rId3"/>
    <sheet name="ventilation" sheetId="15" r:id="rId4"/>
    <sheet name="indoor air quality(IAQ)" sheetId="16" r:id="rId5"/>
    <sheet name="building performance" sheetId="17" r:id="rId6"/>
    <sheet name="energy" sheetId="18" r:id="rId7"/>
    <sheet name="urban" sheetId="19" r:id="rId8"/>
    <sheet name="occupant behavior" sheetId="20" r:id="rId9"/>
    <sheet name="thermal comfort" sheetId="21" r:id="rId10"/>
    <sheet name="building environment" sheetId="22" r:id="rId11"/>
    <sheet name="particle" sheetId="4" r:id="rId12"/>
    <sheet name="PV" sheetId="6" r:id="rId13"/>
    <sheet name="daylighting" sheetId="7" r:id="rId14"/>
    <sheet name="PCM" sheetId="24" r:id="rId15"/>
    <sheet name="datadriven and machine learning" sheetId="11" r:id="rId16"/>
  </sheets>
  <definedNames>
    <definedName name="_xlnm._FilterDatabase" localSheetId="10" hidden="1">'building environment'!$A$1:$V$23</definedName>
    <definedName name="_xlnm._FilterDatabase" localSheetId="5" hidden="1">'building performance'!$A$1:$V$108</definedName>
    <definedName name="_xlnm._FilterDatabase" localSheetId="15" hidden="1">'datadriven and machine learning'!$A$1:$V$86</definedName>
    <definedName name="_xlnm._FilterDatabase" localSheetId="13" hidden="1">daylighting!$A$1:$V$15</definedName>
    <definedName name="_xlnm._FilterDatabase" localSheetId="6" hidden="1">energy!$A$1:$V$65</definedName>
    <definedName name="_xlnm._FilterDatabase" localSheetId="2" hidden="1">HVAC!$A$1:$V$98</definedName>
    <definedName name="_xlnm._FilterDatabase" localSheetId="4" hidden="1">'indoor air quality(IAQ)'!$A$1:$V$62</definedName>
    <definedName name="_xlnm._FilterDatabase" localSheetId="8" hidden="1">'occupant behavior'!$A$1:$V$22</definedName>
    <definedName name="_xlnm._FilterDatabase" localSheetId="11" hidden="1">particle!$A$1:$V$14</definedName>
    <definedName name="_xlnm._FilterDatabase" localSheetId="14" hidden="1">PCM!$A$1:$V$11</definedName>
    <definedName name="_xlnm._FilterDatabase" localSheetId="12" hidden="1">PV!$A$1:$V$23</definedName>
    <definedName name="_xlnm._FilterDatabase" localSheetId="9" hidden="1">'thermal comfort'!$A$1:$V$28</definedName>
    <definedName name="_xlnm._FilterDatabase" localSheetId="7" hidden="1">urban!$A$1:$W$72</definedName>
    <definedName name="_xlnm._FilterDatabase" localSheetId="3" hidden="1">ventilation!$A$1:$X$63</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85" i="11" l="1"/>
  <c r="V84" i="11"/>
  <c r="V81" i="11"/>
  <c r="V78" i="11"/>
  <c r="V77" i="11"/>
  <c r="V76" i="11"/>
  <c r="V75" i="11"/>
  <c r="V74" i="11"/>
  <c r="V73" i="11"/>
  <c r="V70" i="11"/>
  <c r="V69" i="11"/>
  <c r="V68" i="11"/>
  <c r="V65" i="11"/>
  <c r="V62" i="11"/>
  <c r="V61" i="11"/>
  <c r="V60" i="11"/>
  <c r="V59" i="11"/>
  <c r="V58" i="11"/>
  <c r="V54" i="11"/>
  <c r="V51" i="11"/>
  <c r="V50" i="11"/>
  <c r="V49" i="11"/>
  <c r="V48" i="11"/>
  <c r="V45" i="11"/>
  <c r="V44" i="11"/>
  <c r="V43" i="11"/>
  <c r="V42" i="11"/>
  <c r="V39" i="11"/>
  <c r="V38" i="11"/>
  <c r="V37" i="11"/>
  <c r="V36" i="11"/>
  <c r="V35" i="11"/>
  <c r="V34" i="11"/>
  <c r="V33" i="11"/>
  <c r="V32" i="11"/>
  <c r="V31" i="11"/>
  <c r="V28" i="11"/>
  <c r="V27" i="11"/>
  <c r="V26" i="11"/>
  <c r="V25" i="11"/>
  <c r="V24" i="11"/>
  <c r="V23" i="11"/>
  <c r="V22" i="11"/>
  <c r="V21" i="11"/>
  <c r="V20" i="11"/>
  <c r="V17" i="11"/>
  <c r="V16" i="11"/>
  <c r="V15" i="11"/>
  <c r="V14" i="11"/>
  <c r="V13" i="11"/>
  <c r="V12" i="11"/>
  <c r="V11" i="11"/>
  <c r="V10" i="11"/>
  <c r="V9" i="11"/>
  <c r="V8" i="11"/>
  <c r="V7" i="11"/>
  <c r="V6" i="11"/>
  <c r="V5" i="11"/>
  <c r="V4" i="11"/>
  <c r="V3" i="11"/>
  <c r="V11" i="24"/>
  <c r="V10" i="24"/>
  <c r="V9" i="24"/>
  <c r="V8" i="24"/>
  <c r="V7" i="24"/>
  <c r="V6" i="24"/>
  <c r="V5" i="24"/>
  <c r="V4" i="24"/>
  <c r="V3" i="24"/>
  <c r="V14" i="7"/>
  <c r="V12" i="7"/>
  <c r="V9" i="7"/>
  <c r="V8" i="7"/>
  <c r="V7" i="7"/>
  <c r="V6" i="7"/>
  <c r="V5" i="7"/>
  <c r="V4" i="7"/>
  <c r="V3" i="7"/>
  <c r="V23" i="6"/>
  <c r="V22" i="6"/>
  <c r="V21" i="6"/>
  <c r="V20" i="6"/>
  <c r="V19" i="6"/>
  <c r="V18" i="6"/>
  <c r="V17" i="6"/>
  <c r="V16" i="6"/>
  <c r="V13" i="6"/>
  <c r="V12" i="6"/>
  <c r="V11" i="6"/>
  <c r="V10" i="6"/>
  <c r="V9" i="6"/>
  <c r="V8" i="6"/>
  <c r="V7" i="6"/>
  <c r="V6" i="6"/>
  <c r="V5" i="6"/>
  <c r="V4" i="6"/>
  <c r="V3" i="6"/>
  <c r="V14" i="4"/>
  <c r="V13" i="4"/>
  <c r="V10" i="4"/>
  <c r="V9" i="4"/>
  <c r="V8" i="4"/>
  <c r="V7" i="4"/>
  <c r="V6" i="4"/>
  <c r="V3" i="4"/>
  <c r="V22" i="22"/>
  <c r="V21" i="22"/>
  <c r="V20" i="22"/>
  <c r="V19" i="22"/>
  <c r="V18" i="22"/>
  <c r="V17" i="22"/>
  <c r="V16" i="22"/>
  <c r="V13" i="22"/>
  <c r="V10" i="22"/>
  <c r="V9" i="22"/>
  <c r="V8" i="22"/>
  <c r="V7" i="22"/>
  <c r="V6" i="22"/>
  <c r="V3" i="22"/>
  <c r="V28" i="21"/>
  <c r="V26" i="21"/>
  <c r="V25" i="21"/>
  <c r="V24" i="21"/>
  <c r="V23" i="21"/>
  <c r="V20" i="21"/>
  <c r="V19" i="21"/>
  <c r="V18" i="21"/>
  <c r="V17" i="21"/>
  <c r="V16" i="21"/>
  <c r="V15" i="21"/>
  <c r="V14" i="21"/>
  <c r="V13" i="21"/>
  <c r="V12" i="21"/>
  <c r="V11" i="21"/>
  <c r="V10" i="21"/>
  <c r="V9" i="21"/>
  <c r="V8" i="21"/>
  <c r="V7" i="21"/>
  <c r="V6" i="21"/>
  <c r="V5" i="21"/>
  <c r="V4" i="21"/>
  <c r="V3" i="21"/>
  <c r="V22" i="20"/>
  <c r="V21" i="20"/>
  <c r="V20" i="20"/>
  <c r="V19" i="20"/>
  <c r="V18" i="20"/>
  <c r="V15" i="20"/>
  <c r="V14" i="20"/>
  <c r="V13" i="20"/>
  <c r="V12" i="20"/>
  <c r="V11" i="20"/>
  <c r="V10" i="20"/>
  <c r="V9" i="20"/>
  <c r="V8" i="20"/>
  <c r="V7" i="20"/>
  <c r="V6" i="20"/>
  <c r="V5" i="20"/>
  <c r="V3" i="20"/>
  <c r="V72" i="19"/>
  <c r="V69" i="19"/>
  <c r="V68" i="19"/>
  <c r="V67" i="19"/>
  <c r="V66" i="19"/>
  <c r="V64" i="19"/>
  <c r="V63" i="19"/>
  <c r="V62" i="19"/>
  <c r="V61" i="19"/>
  <c r="V58" i="19"/>
  <c r="V57" i="19"/>
  <c r="V56" i="19"/>
  <c r="V55" i="19"/>
  <c r="V54" i="19"/>
  <c r="V51" i="19"/>
  <c r="V50" i="19"/>
  <c r="V49" i="19"/>
  <c r="V48" i="19"/>
  <c r="V47" i="19"/>
  <c r="V45" i="19"/>
  <c r="V44" i="19"/>
  <c r="V43" i="19"/>
  <c r="V42" i="19"/>
  <c r="V41" i="19"/>
  <c r="V40" i="19"/>
  <c r="V39" i="19"/>
  <c r="V38" i="19"/>
  <c r="V37" i="19"/>
  <c r="V36" i="19"/>
  <c r="V35" i="19"/>
  <c r="V34" i="19"/>
  <c r="V32" i="19"/>
  <c r="V30" i="19"/>
  <c r="V29" i="19"/>
  <c r="V28" i="19"/>
  <c r="V26" i="19"/>
  <c r="V25" i="19"/>
  <c r="V24" i="19"/>
  <c r="V23" i="19"/>
  <c r="V22" i="19"/>
  <c r="V21" i="19"/>
  <c r="V20" i="19"/>
  <c r="V19" i="19"/>
  <c r="V18" i="19"/>
  <c r="V17" i="19"/>
  <c r="V16" i="19"/>
  <c r="V15" i="19"/>
  <c r="V14" i="19"/>
  <c r="V13" i="19"/>
  <c r="V12" i="19"/>
  <c r="V10" i="19"/>
  <c r="V9" i="19"/>
  <c r="V8" i="19"/>
  <c r="V7" i="19"/>
  <c r="V5" i="19"/>
  <c r="V4" i="19"/>
  <c r="V3" i="19"/>
  <c r="V65" i="18"/>
  <c r="V62" i="18"/>
  <c r="V61" i="18"/>
  <c r="V60" i="18"/>
  <c r="V59" i="18"/>
  <c r="V58" i="18"/>
  <c r="V57" i="18"/>
  <c r="V54" i="18"/>
  <c r="V53" i="18"/>
  <c r="V50" i="18"/>
  <c r="V49" i="18"/>
  <c r="V48" i="18"/>
  <c r="V47" i="18"/>
  <c r="V46" i="18"/>
  <c r="V45" i="18"/>
  <c r="V44" i="18"/>
  <c r="V43" i="18"/>
  <c r="V42" i="18"/>
  <c r="V41" i="18"/>
  <c r="V40" i="18"/>
  <c r="V39" i="18"/>
  <c r="V38" i="18"/>
  <c r="V37" i="18"/>
  <c r="V36" i="18"/>
  <c r="V35" i="18"/>
  <c r="V34" i="18"/>
  <c r="V33" i="18"/>
  <c r="V32" i="18"/>
  <c r="V30" i="18"/>
  <c r="V27" i="18"/>
  <c r="V26" i="18"/>
  <c r="V25" i="18"/>
  <c r="V24" i="18"/>
  <c r="V23" i="18"/>
  <c r="V20" i="18"/>
  <c r="V19" i="18"/>
  <c r="V18" i="18"/>
  <c r="V17" i="18"/>
  <c r="V16" i="18"/>
  <c r="V15" i="18"/>
  <c r="V14" i="18"/>
  <c r="V13" i="18"/>
  <c r="V12" i="18"/>
  <c r="V11" i="18"/>
  <c r="V7" i="18"/>
  <c r="V6" i="18"/>
  <c r="V5" i="18"/>
  <c r="V4" i="18"/>
  <c r="V3" i="18"/>
  <c r="V103" i="17"/>
  <c r="V101" i="17"/>
  <c r="V100" i="17"/>
  <c r="V99" i="17"/>
  <c r="V98" i="17"/>
  <c r="V97" i="17"/>
  <c r="V96" i="17"/>
  <c r="V95" i="17"/>
  <c r="V92" i="17"/>
  <c r="V89" i="17"/>
  <c r="V88" i="17"/>
  <c r="V87" i="17"/>
  <c r="V85" i="17"/>
  <c r="V82" i="17"/>
  <c r="V81" i="17"/>
  <c r="V80" i="17"/>
  <c r="V79" i="17"/>
  <c r="V78" i="17"/>
  <c r="V77" i="17"/>
  <c r="V74" i="17"/>
  <c r="V73" i="17"/>
  <c r="V70" i="17"/>
  <c r="V69" i="17"/>
  <c r="V68" i="17"/>
  <c r="V67" i="17"/>
  <c r="V66" i="17"/>
  <c r="V65" i="17"/>
  <c r="V62" i="17"/>
  <c r="V61" i="17"/>
  <c r="V60" i="17"/>
  <c r="V59" i="17"/>
  <c r="V58" i="17"/>
  <c r="V57" i="17"/>
  <c r="V56" i="17"/>
  <c r="V55" i="17"/>
  <c r="V54" i="17"/>
  <c r="V53" i="17"/>
  <c r="V52" i="17"/>
  <c r="V51" i="17"/>
  <c r="V50" i="17"/>
  <c r="V49" i="17"/>
  <c r="V46" i="17"/>
  <c r="V45" i="17"/>
  <c r="V42" i="17"/>
  <c r="V41" i="17"/>
  <c r="V40" i="17"/>
  <c r="V39" i="17"/>
  <c r="V38" i="17"/>
  <c r="V37" i="17"/>
  <c r="V36" i="17"/>
  <c r="V35" i="17"/>
  <c r="V34" i="17"/>
  <c r="V33" i="17"/>
  <c r="V32" i="17"/>
  <c r="V31" i="17"/>
  <c r="V30" i="17"/>
  <c r="V29" i="17"/>
  <c r="V28" i="17"/>
  <c r="V27" i="17"/>
  <c r="V26" i="17"/>
  <c r="V25" i="17"/>
  <c r="V24" i="17"/>
  <c r="V23" i="17"/>
  <c r="V22" i="17"/>
  <c r="V21" i="17"/>
  <c r="V18" i="17"/>
  <c r="V17" i="17"/>
  <c r="V16" i="17"/>
  <c r="V15" i="17"/>
  <c r="V14" i="17"/>
  <c r="V13" i="17"/>
  <c r="V12" i="17"/>
  <c r="V11" i="17"/>
  <c r="V10" i="17"/>
  <c r="V9" i="17"/>
  <c r="V8" i="17"/>
  <c r="V7" i="17"/>
  <c r="V6" i="17"/>
  <c r="V5" i="17"/>
  <c r="V4" i="17"/>
  <c r="V3" i="17"/>
  <c r="V60" i="16"/>
  <c r="V58" i="16"/>
  <c r="V55" i="16"/>
  <c r="V54" i="16"/>
  <c r="V53" i="16"/>
  <c r="V52" i="16"/>
  <c r="V51" i="16"/>
  <c r="V48" i="16"/>
  <c r="V45" i="16"/>
  <c r="V44" i="16"/>
  <c r="V43" i="16"/>
  <c r="V42" i="16"/>
  <c r="V41" i="16"/>
  <c r="V40" i="16"/>
  <c r="V39" i="16"/>
  <c r="V38" i="16"/>
  <c r="V37" i="16"/>
  <c r="V36" i="16"/>
  <c r="V35" i="16"/>
  <c r="V34" i="16"/>
  <c r="V33" i="16"/>
  <c r="V32" i="16"/>
  <c r="V31" i="16"/>
  <c r="V30" i="16"/>
  <c r="V28" i="16"/>
  <c r="V27" i="16"/>
  <c r="V26" i="16"/>
  <c r="V25" i="16"/>
  <c r="V24" i="16"/>
  <c r="V21" i="16"/>
  <c r="V20" i="16"/>
  <c r="V19" i="16"/>
  <c r="V18" i="16"/>
  <c r="V17" i="16"/>
  <c r="V16" i="16"/>
  <c r="V15" i="16"/>
  <c r="V14" i="16"/>
  <c r="V13" i="16"/>
  <c r="V12" i="16"/>
  <c r="V11" i="16"/>
  <c r="V10" i="16"/>
  <c r="V9" i="16"/>
  <c r="V8" i="16"/>
  <c r="V7" i="16"/>
  <c r="V6" i="16"/>
  <c r="V5" i="16"/>
  <c r="V4" i="16"/>
  <c r="V3" i="16"/>
  <c r="V63" i="15"/>
  <c r="V62" i="15"/>
  <c r="V60" i="15"/>
  <c r="V59" i="15"/>
  <c r="V57" i="15"/>
  <c r="V56" i="15"/>
  <c r="V55" i="15"/>
  <c r="V54" i="15"/>
  <c r="V53" i="15"/>
  <c r="V52" i="15"/>
  <c r="V51" i="15"/>
  <c r="V50" i="15"/>
  <c r="V49" i="15"/>
  <c r="V47" i="15"/>
  <c r="V44" i="15"/>
  <c r="V43" i="15"/>
  <c r="V42" i="15"/>
  <c r="V41" i="15"/>
  <c r="V40" i="15"/>
  <c r="V39" i="15"/>
  <c r="V36" i="15"/>
  <c r="V35" i="15"/>
  <c r="V34" i="15"/>
  <c r="V33" i="15"/>
  <c r="V32" i="15"/>
  <c r="V29" i="15"/>
  <c r="V28" i="15"/>
  <c r="V27" i="15"/>
  <c r="V26" i="15"/>
  <c r="V23" i="15"/>
  <c r="V22" i="15"/>
  <c r="V21" i="15"/>
  <c r="V20" i="15"/>
  <c r="V19" i="15"/>
  <c r="V18" i="15"/>
  <c r="V17" i="15"/>
  <c r="V16" i="15"/>
  <c r="V15" i="15"/>
  <c r="V14" i="15"/>
  <c r="V13" i="15"/>
  <c r="V10" i="15"/>
  <c r="V9" i="15"/>
  <c r="V8" i="15"/>
  <c r="V7" i="15"/>
  <c r="V6" i="15"/>
  <c r="V5" i="15"/>
  <c r="V4" i="15"/>
  <c r="V3" i="15"/>
  <c r="V98" i="14"/>
  <c r="V94" i="14"/>
  <c r="V93" i="14"/>
  <c r="V92" i="14"/>
  <c r="V91" i="14"/>
  <c r="V88" i="14"/>
  <c r="V87" i="14"/>
  <c r="V84" i="14"/>
  <c r="V83" i="14"/>
  <c r="V82" i="14"/>
  <c r="V81" i="14"/>
  <c r="V80" i="14"/>
  <c r="V79" i="14"/>
  <c r="V78" i="14"/>
  <c r="V77" i="14"/>
  <c r="V75" i="14"/>
  <c r="V72" i="14"/>
  <c r="V68" i="14"/>
  <c r="V67" i="14"/>
  <c r="V66" i="14"/>
  <c r="V65" i="14"/>
  <c r="V62" i="14"/>
  <c r="V61" i="14"/>
  <c r="V60" i="14"/>
  <c r="V59" i="14"/>
  <c r="V58" i="14"/>
  <c r="V57" i="14"/>
  <c r="V56" i="14"/>
  <c r="V55" i="14"/>
  <c r="V54" i="14"/>
  <c r="V53" i="14"/>
  <c r="V52" i="14"/>
  <c r="V49" i="14"/>
  <c r="V46" i="14"/>
  <c r="V45" i="14"/>
  <c r="V44" i="14"/>
  <c r="V41" i="14"/>
  <c r="V40" i="14"/>
  <c r="V39" i="14"/>
  <c r="V38" i="14"/>
  <c r="V37" i="14"/>
  <c r="V36" i="14"/>
  <c r="V35" i="14"/>
  <c r="V34" i="14"/>
  <c r="V33" i="14"/>
  <c r="V32" i="14"/>
  <c r="V31" i="14"/>
  <c r="V30" i="14"/>
  <c r="V29" i="14"/>
  <c r="V28" i="14"/>
  <c r="V27" i="14"/>
  <c r="V26" i="14"/>
  <c r="V25" i="14"/>
  <c r="V24" i="14"/>
  <c r="V23" i="14"/>
  <c r="V22" i="14"/>
  <c r="V21" i="14"/>
  <c r="V20" i="14"/>
  <c r="V19" i="14"/>
  <c r="V16" i="14"/>
  <c r="V15" i="14"/>
  <c r="V14" i="14"/>
  <c r="V13" i="14"/>
  <c r="V12" i="14"/>
  <c r="V11" i="14"/>
  <c r="V10" i="14"/>
  <c r="V9" i="14"/>
  <c r="V8" i="14"/>
  <c r="V7" i="14"/>
  <c r="V6" i="14"/>
  <c r="V3" i="14"/>
  <c r="T276" i="23"/>
  <c r="T275" i="23"/>
  <c r="T274" i="23"/>
  <c r="T173" i="23"/>
  <c r="T172" i="23"/>
  <c r="T171" i="23"/>
  <c r="T170" i="23"/>
  <c r="T169" i="23"/>
  <c r="T168" i="23"/>
  <c r="T273" i="23"/>
  <c r="T272" i="23"/>
  <c r="T271" i="23"/>
  <c r="T167" i="23"/>
  <c r="T166" i="23"/>
  <c r="T165" i="23"/>
  <c r="T164" i="23"/>
  <c r="T270" i="23"/>
  <c r="T269" i="23"/>
  <c r="T268" i="23"/>
  <c r="T267" i="23"/>
  <c r="T266" i="23"/>
  <c r="T265" i="23"/>
  <c r="T264" i="23"/>
  <c r="T263" i="23"/>
  <c r="T262" i="23"/>
  <c r="T261" i="23"/>
  <c r="T260" i="23"/>
  <c r="T259" i="23"/>
  <c r="T258" i="23"/>
  <c r="T257" i="23"/>
  <c r="T256" i="23"/>
  <c r="T255" i="23"/>
  <c r="T254" i="23"/>
  <c r="T253" i="23"/>
  <c r="T252" i="23"/>
  <c r="T251" i="23"/>
  <c r="T250" i="23"/>
  <c r="T249" i="23"/>
  <c r="T248" i="23"/>
  <c r="T247" i="23"/>
  <c r="T246" i="23"/>
  <c r="T245" i="23"/>
  <c r="T244" i="23"/>
  <c r="T243" i="23"/>
  <c r="T242" i="23"/>
  <c r="T241" i="23"/>
  <c r="T240" i="23"/>
  <c r="T239" i="23"/>
  <c r="T238" i="23"/>
  <c r="T237" i="23"/>
  <c r="T236" i="23"/>
  <c r="T235" i="23"/>
  <c r="T234" i="23"/>
  <c r="T233" i="23"/>
  <c r="T232" i="23"/>
  <c r="T231" i="23"/>
  <c r="T230" i="23"/>
  <c r="T229" i="23"/>
  <c r="T228" i="23"/>
  <c r="T227" i="23"/>
  <c r="T226" i="23"/>
  <c r="T225" i="23"/>
  <c r="T224" i="23"/>
  <c r="T223" i="23"/>
  <c r="T222" i="23"/>
  <c r="T221" i="23"/>
  <c r="T220" i="23"/>
  <c r="T219" i="23"/>
  <c r="T218" i="23"/>
  <c r="T217" i="23"/>
  <c r="T216" i="23"/>
  <c r="T215" i="23"/>
  <c r="T214" i="23"/>
  <c r="T213" i="23"/>
  <c r="T212" i="23"/>
  <c r="T211" i="23"/>
  <c r="T210" i="23"/>
  <c r="T209" i="23"/>
  <c r="T208" i="23"/>
  <c r="T207" i="23"/>
  <c r="T206" i="23"/>
  <c r="T205" i="23"/>
  <c r="T204" i="23"/>
  <c r="T203" i="23"/>
  <c r="T202" i="23"/>
  <c r="T201" i="23"/>
  <c r="T200" i="23"/>
  <c r="T199" i="23"/>
  <c r="T198" i="23"/>
  <c r="T197" i="23"/>
  <c r="T196" i="23"/>
  <c r="T195" i="23"/>
  <c r="T194" i="23"/>
  <c r="T193" i="23"/>
  <c r="T192" i="23"/>
  <c r="T191" i="23"/>
  <c r="T190" i="23"/>
  <c r="T189" i="23"/>
  <c r="T188" i="23"/>
  <c r="T187" i="23"/>
  <c r="T186" i="23"/>
  <c r="T185" i="23"/>
  <c r="T184" i="23"/>
  <c r="T183" i="23"/>
  <c r="T182" i="23"/>
  <c r="T181" i="23"/>
  <c r="T180" i="23"/>
  <c r="T179" i="23"/>
  <c r="T178" i="23"/>
  <c r="T163" i="23"/>
  <c r="T177" i="23"/>
  <c r="T176" i="23"/>
  <c r="T175" i="23"/>
  <c r="T174" i="23"/>
  <c r="T162" i="23"/>
  <c r="T161" i="23"/>
  <c r="T160" i="23"/>
  <c r="T159" i="23"/>
  <c r="T158" i="23"/>
  <c r="T157" i="23"/>
  <c r="T156" i="23"/>
  <c r="T155" i="23"/>
  <c r="T154" i="23"/>
  <c r="T153" i="23"/>
  <c r="T152" i="23"/>
  <c r="T151" i="23"/>
  <c r="T150" i="23"/>
  <c r="T149" i="23"/>
  <c r="T148" i="23"/>
  <c r="T147" i="23"/>
  <c r="T146" i="23"/>
  <c r="T145" i="23"/>
  <c r="T144" i="23"/>
  <c r="T143" i="23"/>
  <c r="T142" i="23"/>
  <c r="T141" i="23"/>
  <c r="T140" i="23"/>
  <c r="T139" i="23"/>
  <c r="T138" i="23"/>
  <c r="T137" i="23"/>
  <c r="T136" i="23"/>
  <c r="T135" i="23"/>
  <c r="T134" i="23"/>
  <c r="T133" i="23"/>
  <c r="T132" i="23"/>
  <c r="T131" i="23"/>
  <c r="T130" i="23"/>
  <c r="T129" i="23"/>
  <c r="T128" i="23"/>
  <c r="T127" i="23"/>
  <c r="T126" i="23"/>
  <c r="T125" i="23"/>
  <c r="T124" i="23"/>
  <c r="T123" i="23"/>
  <c r="T122" i="23"/>
  <c r="T121" i="23"/>
  <c r="T120" i="23"/>
  <c r="T119" i="23"/>
  <c r="T118" i="23"/>
  <c r="T117" i="23"/>
  <c r="T116" i="23"/>
  <c r="T115" i="23"/>
  <c r="T114" i="23"/>
  <c r="T113" i="23"/>
  <c r="T112" i="23"/>
  <c r="T111" i="23"/>
  <c r="T110" i="23"/>
  <c r="T109" i="23"/>
  <c r="T108" i="23"/>
  <c r="T107" i="23"/>
  <c r="T106" i="23"/>
  <c r="T105" i="23"/>
  <c r="T104" i="23"/>
  <c r="T103" i="23"/>
  <c r="T102" i="23"/>
  <c r="T101" i="23"/>
  <c r="T100" i="23"/>
  <c r="T99" i="23"/>
  <c r="T98" i="23"/>
  <c r="T97" i="23"/>
  <c r="T96" i="23"/>
  <c r="T95" i="23"/>
  <c r="T94" i="23"/>
  <c r="T93" i="23"/>
  <c r="T92" i="23"/>
  <c r="T91" i="23"/>
  <c r="T90" i="23"/>
  <c r="T89" i="23"/>
  <c r="T88" i="23"/>
  <c r="T87" i="23"/>
  <c r="T86" i="23"/>
  <c r="T85" i="23"/>
  <c r="T84" i="23"/>
  <c r="T83" i="23"/>
  <c r="T82" i="23"/>
  <c r="T81" i="23"/>
  <c r="T80" i="23"/>
  <c r="T79" i="23"/>
  <c r="T78" i="23"/>
  <c r="T77" i="23"/>
  <c r="T76" i="23"/>
  <c r="T75" i="23"/>
  <c r="T74" i="23"/>
  <c r="T73" i="23"/>
  <c r="T72" i="23"/>
  <c r="T71" i="23"/>
  <c r="T70" i="23"/>
  <c r="T69" i="23"/>
  <c r="T68" i="23"/>
  <c r="T67" i="23"/>
  <c r="T66" i="23"/>
  <c r="T65" i="23"/>
  <c r="T64" i="23"/>
  <c r="T63" i="23"/>
  <c r="T62" i="23"/>
  <c r="T61" i="23"/>
  <c r="T60" i="23"/>
  <c r="T59" i="23"/>
  <c r="T58" i="23"/>
  <c r="T57" i="23"/>
  <c r="T56" i="23"/>
  <c r="T55" i="23"/>
  <c r="T54" i="23"/>
  <c r="T53" i="23"/>
  <c r="T52" i="23"/>
  <c r="T51" i="23"/>
  <c r="T50" i="23"/>
  <c r="T49" i="23"/>
  <c r="T48" i="23"/>
  <c r="T47" i="23"/>
  <c r="T46" i="23"/>
  <c r="T45" i="23"/>
  <c r="T44" i="23"/>
  <c r="T43" i="23"/>
  <c r="T42" i="23"/>
  <c r="T41" i="23"/>
  <c r="T40" i="23"/>
  <c r="T39" i="23"/>
  <c r="T38" i="23"/>
  <c r="T37" i="23"/>
  <c r="T36" i="23"/>
  <c r="T35" i="23"/>
  <c r="T34" i="23"/>
  <c r="T33" i="23"/>
  <c r="T32" i="23"/>
  <c r="T31" i="23"/>
  <c r="T30" i="23"/>
  <c r="T29" i="23"/>
  <c r="T28" i="23"/>
  <c r="T27" i="23"/>
  <c r="T26" i="23"/>
  <c r="T25" i="23"/>
  <c r="T24" i="23"/>
  <c r="T23" i="23"/>
  <c r="T22" i="23"/>
  <c r="T21" i="23"/>
  <c r="T20" i="23"/>
  <c r="T19" i="23"/>
  <c r="T18" i="23"/>
  <c r="T17" i="23"/>
  <c r="T16" i="23"/>
  <c r="T15" i="23"/>
  <c r="T14" i="23"/>
  <c r="T13" i="23"/>
  <c r="T12" i="23"/>
  <c r="T11" i="23"/>
  <c r="T10" i="23"/>
  <c r="T9" i="23"/>
  <c r="T8" i="23"/>
  <c r="T7" i="23"/>
  <c r="T6" i="23"/>
  <c r="T5" i="23"/>
  <c r="T4" i="23"/>
  <c r="T3" i="23"/>
  <c r="T2" i="23"/>
</calcChain>
</file>

<file path=xl/sharedStrings.xml><?xml version="1.0" encoding="utf-8"?>
<sst xmlns="http://schemas.openxmlformats.org/spreadsheetml/2006/main" count="12284" uniqueCount="3595">
  <si>
    <t>Author Full Names</t>
  </si>
  <si>
    <t>Source Title</t>
  </si>
  <si>
    <t>Publication Date</t>
  </si>
  <si>
    <t>Publication Year</t>
  </si>
  <si>
    <t>Volume</t>
  </si>
  <si>
    <t>Issue</t>
  </si>
  <si>
    <t>Start Page</t>
  </si>
  <si>
    <t>End Page</t>
  </si>
  <si>
    <t>DOI</t>
  </si>
  <si>
    <t>DOI Link</t>
  </si>
  <si>
    <t>Early Access Date</t>
  </si>
  <si>
    <t/>
  </si>
  <si>
    <t>BUILDING SIMULATION</t>
  </si>
  <si>
    <t>PERFORMANCE</t>
  </si>
  <si>
    <t>NOV</t>
  </si>
  <si>
    <t>OCT</t>
  </si>
  <si>
    <t>SEP</t>
  </si>
  <si>
    <t>Liu, Yapan; Dong, Bing</t>
  </si>
  <si>
    <t>CONSUMPTION</t>
  </si>
  <si>
    <t>AUG</t>
  </si>
  <si>
    <t>JUL</t>
  </si>
  <si>
    <t>MAY</t>
  </si>
  <si>
    <t>JUN</t>
  </si>
  <si>
    <t>APR</t>
  </si>
  <si>
    <t>JAN</t>
  </si>
  <si>
    <t>MAR</t>
  </si>
  <si>
    <t>FEB</t>
  </si>
  <si>
    <t>DEC</t>
  </si>
  <si>
    <t>level 1</t>
    <phoneticPr fontId="2" type="noConversion"/>
  </si>
  <si>
    <t>level 2</t>
    <phoneticPr fontId="2" type="noConversion"/>
  </si>
  <si>
    <t>暖通空调系统</t>
    <phoneticPr fontId="2" type="noConversion"/>
  </si>
  <si>
    <t>辐射采暖</t>
  </si>
  <si>
    <t>Radiant Heating</t>
  </si>
  <si>
    <t>辐射制冷</t>
    <phoneticPr fontId="2" type="noConversion"/>
  </si>
  <si>
    <t>radiant cooling</t>
  </si>
  <si>
    <t>系统控制</t>
    <phoneticPr fontId="2" type="noConversion"/>
  </si>
  <si>
    <t>System control</t>
    <phoneticPr fontId="2" type="noConversion"/>
  </si>
  <si>
    <t>热源</t>
    <phoneticPr fontId="2" type="noConversion"/>
  </si>
  <si>
    <t>heat sources</t>
  </si>
  <si>
    <t>热泵</t>
    <phoneticPr fontId="2" type="noConversion"/>
  </si>
  <si>
    <t>heat pump</t>
    <phoneticPr fontId="2" type="noConversion"/>
  </si>
  <si>
    <t>冷水机组控制</t>
  </si>
  <si>
    <t>Chiller control</t>
    <phoneticPr fontId="2" type="noConversion"/>
  </si>
  <si>
    <t>冷却系统</t>
    <phoneticPr fontId="2" type="noConversion"/>
  </si>
  <si>
    <t>cooling systems</t>
    <phoneticPr fontId="2" type="noConversion"/>
  </si>
  <si>
    <r>
      <rPr>
        <sz val="10"/>
        <rFont val="微软雅黑"/>
        <family val="2"/>
        <charset val="134"/>
      </rPr>
      <t>基于</t>
    </r>
    <r>
      <rPr>
        <sz val="10"/>
        <rFont val="Arial"/>
        <family val="2"/>
      </rPr>
      <t>BIM</t>
    </r>
    <phoneticPr fontId="2" type="noConversion"/>
  </si>
  <si>
    <t>BIM-based</t>
    <phoneticPr fontId="2" type="noConversion"/>
  </si>
  <si>
    <t>负荷预测</t>
    <phoneticPr fontId="2" type="noConversion"/>
  </si>
  <si>
    <t>load prediction</t>
  </si>
  <si>
    <t>能耗预测</t>
  </si>
  <si>
    <t>Energy consumption prediction</t>
  </si>
  <si>
    <t>通风</t>
    <phoneticPr fontId="2" type="noConversion"/>
  </si>
  <si>
    <t>通风与建筑</t>
    <phoneticPr fontId="2" type="noConversion"/>
  </si>
  <si>
    <t>Ventilation and Architectural Design</t>
  </si>
  <si>
    <t>通风系统</t>
    <phoneticPr fontId="2" type="noConversion"/>
  </si>
  <si>
    <t>ventilation systems</t>
  </si>
  <si>
    <t>通风与热舒适</t>
    <phoneticPr fontId="2" type="noConversion"/>
  </si>
  <si>
    <t>Ventilation and thermal comfort</t>
  </si>
  <si>
    <t>通风控制</t>
    <phoneticPr fontId="2" type="noConversion"/>
  </si>
  <si>
    <t xml:space="preserve"> ventilation control</t>
  </si>
  <si>
    <t>自然通风新技术</t>
  </si>
  <si>
    <t>New natural ventilation technology</t>
  </si>
  <si>
    <t>大空间</t>
    <phoneticPr fontId="2" type="noConversion"/>
  </si>
  <si>
    <t>气流运动规律</t>
    <phoneticPr fontId="2" type="noConversion"/>
  </si>
  <si>
    <t>Airflow theory</t>
    <phoneticPr fontId="2" type="noConversion"/>
  </si>
  <si>
    <t>微小空间</t>
    <phoneticPr fontId="2" type="noConversion"/>
  </si>
  <si>
    <t>室内空气质量</t>
    <phoneticPr fontId="2" type="noConversion"/>
  </si>
  <si>
    <t>污染物</t>
    <phoneticPr fontId="2" type="noConversion"/>
  </si>
  <si>
    <t>Pollutant</t>
    <phoneticPr fontId="2" type="noConversion"/>
  </si>
  <si>
    <t>污染物扩散</t>
  </si>
  <si>
    <t>pollutant dispersion</t>
  </si>
  <si>
    <t>疾病防治</t>
  </si>
  <si>
    <t>Disease Control</t>
  </si>
  <si>
    <t>COVID-19</t>
  </si>
  <si>
    <t>指标评价与验证</t>
    <phoneticPr fontId="2" type="noConversion"/>
  </si>
  <si>
    <t>Indicator Assessment and Validation</t>
  </si>
  <si>
    <t>高纬度建筑</t>
    <phoneticPr fontId="2" type="noConversion"/>
  </si>
  <si>
    <t>high altitude building</t>
    <phoneticPr fontId="2" type="noConversion"/>
  </si>
  <si>
    <t>建筑性能</t>
    <phoneticPr fontId="2" type="noConversion"/>
  </si>
  <si>
    <t>建筑围护</t>
    <phoneticPr fontId="2" type="noConversion"/>
  </si>
  <si>
    <t>building envelope</t>
  </si>
  <si>
    <t>性能模拟</t>
    <phoneticPr fontId="2" type="noConversion"/>
  </si>
  <si>
    <t>performance simulation</t>
  </si>
  <si>
    <t>气候变化</t>
    <phoneticPr fontId="2" type="noConversion"/>
  </si>
  <si>
    <t>climate change</t>
    <phoneticPr fontId="2" type="noConversion"/>
  </si>
  <si>
    <t>需求响应</t>
    <phoneticPr fontId="2" type="noConversion"/>
  </si>
  <si>
    <t>demand response</t>
    <phoneticPr fontId="2" type="noConversion"/>
  </si>
  <si>
    <t>建筑节能改造</t>
    <phoneticPr fontId="2" type="noConversion"/>
  </si>
  <si>
    <t>Building Energy Retrofit</t>
    <phoneticPr fontId="2" type="noConversion"/>
  </si>
  <si>
    <t>睡眠环境</t>
    <phoneticPr fontId="2" type="noConversion"/>
  </si>
  <si>
    <t>sleep environment</t>
    <phoneticPr fontId="2" type="noConversion"/>
  </si>
  <si>
    <t>智能建筑</t>
    <phoneticPr fontId="2" type="noConversion"/>
  </si>
  <si>
    <t>Smart buildings</t>
    <phoneticPr fontId="2" type="noConversion"/>
  </si>
  <si>
    <t>被动式建筑</t>
    <phoneticPr fontId="2" type="noConversion"/>
  </si>
  <si>
    <t>passive building</t>
  </si>
  <si>
    <t>声学</t>
    <phoneticPr fontId="2" type="noConversion"/>
  </si>
  <si>
    <t>soundscape</t>
  </si>
  <si>
    <t>建筑用能</t>
    <phoneticPr fontId="2" type="noConversion"/>
  </si>
  <si>
    <t>建筑设计</t>
    <phoneticPr fontId="2" type="noConversion"/>
  </si>
  <si>
    <t>building design</t>
    <phoneticPr fontId="2" type="noConversion"/>
  </si>
  <si>
    <t>能源</t>
    <phoneticPr fontId="2" type="noConversion"/>
  </si>
  <si>
    <t>新型能源系统</t>
    <phoneticPr fontId="2" type="noConversion"/>
  </si>
  <si>
    <t>New Energy Systems</t>
  </si>
  <si>
    <t>故障检测</t>
    <phoneticPr fontId="2" type="noConversion"/>
  </si>
  <si>
    <t>Fault Detection</t>
  </si>
  <si>
    <t>热电联产系统</t>
    <phoneticPr fontId="2" type="noConversion"/>
  </si>
  <si>
    <t>combined heat and water system</t>
  </si>
  <si>
    <t>用能需求</t>
    <phoneticPr fontId="2" type="noConversion"/>
  </si>
  <si>
    <t>energy demand</t>
  </si>
  <si>
    <t>用能管理</t>
    <phoneticPr fontId="2" type="noConversion"/>
  </si>
  <si>
    <t xml:space="preserve"> energy management</t>
  </si>
  <si>
    <t>城市</t>
    <phoneticPr fontId="2" type="noConversion"/>
  </si>
  <si>
    <t>绿色基础设施</t>
  </si>
  <si>
    <t>green infrastructure</t>
  </si>
  <si>
    <t>城市形态参数分析</t>
  </si>
  <si>
    <t>urban morphological parameters analysis</t>
  </si>
  <si>
    <t>pollutant</t>
    <phoneticPr fontId="2" type="noConversion"/>
  </si>
  <si>
    <t>建筑分类</t>
  </si>
  <si>
    <t>archtype Classification</t>
  </si>
  <si>
    <t>建筑人行为</t>
    <phoneticPr fontId="2" type="noConversion"/>
  </si>
  <si>
    <t>行人运动模型</t>
  </si>
  <si>
    <t>Pedestrian movement model</t>
  </si>
  <si>
    <t>人员在室</t>
    <phoneticPr fontId="2" type="noConversion"/>
  </si>
  <si>
    <t>occupancy</t>
  </si>
  <si>
    <t>building energy use</t>
  </si>
  <si>
    <t>热舒适</t>
    <phoneticPr fontId="2" type="noConversion"/>
  </si>
  <si>
    <t>热舒适模拟</t>
    <phoneticPr fontId="2" type="noConversion"/>
  </si>
  <si>
    <t>Thermal comfort simulation</t>
    <phoneticPr fontId="2" type="noConversion"/>
  </si>
  <si>
    <t>个人舒适系统</t>
    <phoneticPr fontId="2" type="noConversion"/>
  </si>
  <si>
    <t>personal comfort system</t>
    <phoneticPr fontId="2" type="noConversion"/>
  </si>
  <si>
    <t>建筑环境</t>
    <phoneticPr fontId="2" type="noConversion"/>
  </si>
  <si>
    <t>学校</t>
    <phoneticPr fontId="2" type="noConversion"/>
  </si>
  <si>
    <t>school</t>
    <phoneticPr fontId="2" type="noConversion"/>
  </si>
  <si>
    <t>建筑模拟</t>
    <phoneticPr fontId="2" type="noConversion"/>
  </si>
  <si>
    <t>building simulation</t>
  </si>
  <si>
    <t>构建原型</t>
  </si>
  <si>
    <t>building prototyping</t>
  </si>
  <si>
    <t>颗粒物</t>
    <phoneticPr fontId="2" type="noConversion"/>
  </si>
  <si>
    <t>呼吸颗粒物定量测试</t>
  </si>
  <si>
    <t>Quantitative Respiratory Particulate Matter Testing</t>
  </si>
  <si>
    <t>粒子扩散</t>
    <phoneticPr fontId="2" type="noConversion"/>
  </si>
  <si>
    <t>particle dispersion</t>
  </si>
  <si>
    <t>烹饪油脂颗粒</t>
    <phoneticPr fontId="2" type="noConversion"/>
  </si>
  <si>
    <t>cooking grease particles</t>
  </si>
  <si>
    <t>光伏</t>
    <phoneticPr fontId="2" type="noConversion"/>
  </si>
  <si>
    <r>
      <t>PV</t>
    </r>
    <r>
      <rPr>
        <sz val="10"/>
        <rFont val="微软雅黑"/>
        <family val="2"/>
        <charset val="134"/>
      </rPr>
      <t>系统</t>
    </r>
    <phoneticPr fontId="2" type="noConversion"/>
  </si>
  <si>
    <t>PV systems</t>
    <phoneticPr fontId="2" type="noConversion"/>
  </si>
  <si>
    <t>城市分布式光伏</t>
  </si>
  <si>
    <t>Urban distributed photovoltaic</t>
  </si>
  <si>
    <t>采光</t>
    <phoneticPr fontId="2" type="noConversion"/>
  </si>
  <si>
    <t>设计优化</t>
    <phoneticPr fontId="2" type="noConversion"/>
  </si>
  <si>
    <t>Design optimisation</t>
  </si>
  <si>
    <t>建筑设计优化</t>
  </si>
  <si>
    <t>Optimization of architectural design</t>
  </si>
  <si>
    <t>相变材料</t>
    <phoneticPr fontId="2" type="noConversion"/>
  </si>
  <si>
    <t>PCM</t>
    <phoneticPr fontId="2" type="noConversion"/>
  </si>
  <si>
    <t>数据驱动和机器学习</t>
    <phoneticPr fontId="2" type="noConversion"/>
  </si>
  <si>
    <t>data-driven and machine learning</t>
    <phoneticPr fontId="2" type="noConversion"/>
  </si>
  <si>
    <t>能耗预测</t>
    <phoneticPr fontId="2" type="noConversion"/>
  </si>
  <si>
    <t>故障诊断</t>
    <phoneticPr fontId="2" type="noConversion"/>
  </si>
  <si>
    <t>HVAC</t>
    <phoneticPr fontId="2" type="noConversion"/>
  </si>
  <si>
    <t>Article Title</t>
  </si>
  <si>
    <t>Authors</t>
  </si>
  <si>
    <t>Author Keywords</t>
  </si>
  <si>
    <t>Abstract</t>
  </si>
  <si>
    <t>ventilation</t>
    <phoneticPr fontId="2" type="noConversion"/>
  </si>
  <si>
    <t>indoor air quality(IAQ)</t>
    <phoneticPr fontId="2" type="noConversion"/>
  </si>
  <si>
    <t>building performance</t>
    <phoneticPr fontId="2" type="noConversion"/>
  </si>
  <si>
    <t>energy</t>
    <phoneticPr fontId="2" type="noConversion"/>
  </si>
  <si>
    <t>urban</t>
    <phoneticPr fontId="2" type="noConversion"/>
  </si>
  <si>
    <t>occupant behavior</t>
    <phoneticPr fontId="2" type="noConversion"/>
  </si>
  <si>
    <t>thermal comfort</t>
    <phoneticPr fontId="2" type="noConversion"/>
  </si>
  <si>
    <t>building environment</t>
    <phoneticPr fontId="2" type="noConversion"/>
  </si>
  <si>
    <t>particle</t>
    <phoneticPr fontId="2" type="noConversion"/>
  </si>
  <si>
    <t>PV</t>
    <phoneticPr fontId="2" type="noConversion"/>
  </si>
  <si>
    <t>daylighting</t>
    <phoneticPr fontId="2" type="noConversion"/>
  </si>
  <si>
    <t>air handling units (AHUs)</t>
  </si>
  <si>
    <t>空气处理机组</t>
    <phoneticPr fontId="2" type="noConversion"/>
  </si>
  <si>
    <t>人口流动</t>
    <phoneticPr fontId="2" type="noConversion"/>
  </si>
  <si>
    <t>human mobility</t>
    <phoneticPr fontId="2" type="noConversion"/>
  </si>
  <si>
    <t>模型校准</t>
    <phoneticPr fontId="2" type="noConversion"/>
  </si>
  <si>
    <t>换热器</t>
    <phoneticPr fontId="2" type="noConversion"/>
  </si>
  <si>
    <t>heat exchanger</t>
  </si>
  <si>
    <t>热水系统</t>
    <phoneticPr fontId="2" type="noConversion"/>
  </si>
  <si>
    <t>water heating system</t>
  </si>
  <si>
    <t>热模拟</t>
    <phoneticPr fontId="2" type="noConversion"/>
  </si>
  <si>
    <t>thermal simulation</t>
  </si>
  <si>
    <t>adaptive comfort model</t>
  </si>
  <si>
    <t>自适应舒适度模型</t>
  </si>
  <si>
    <t>Energy consumption prediction</t>
    <phoneticPr fontId="2" type="noConversion"/>
  </si>
  <si>
    <t>Fault diagnosis</t>
    <phoneticPr fontId="2" type="noConversion"/>
  </si>
  <si>
    <t>能源生产预测</t>
    <phoneticPr fontId="2" type="noConversion"/>
  </si>
  <si>
    <t>energy production prediction</t>
    <phoneticPr fontId="2" type="noConversion"/>
  </si>
  <si>
    <t>换热器</t>
    <phoneticPr fontId="2" type="noConversion"/>
  </si>
  <si>
    <t>heat exchanger</t>
    <phoneticPr fontId="2" type="noConversion"/>
  </si>
  <si>
    <t>热水系统</t>
    <phoneticPr fontId="2" type="noConversion"/>
  </si>
  <si>
    <t>water heating system</t>
    <phoneticPr fontId="2" type="noConversion"/>
  </si>
  <si>
    <t>model calibration</t>
    <phoneticPr fontId="2" type="noConversion"/>
  </si>
  <si>
    <t>热模拟</t>
    <phoneticPr fontId="2" type="noConversion"/>
  </si>
  <si>
    <t>thermal simulation</t>
    <phoneticPr fontId="2" type="noConversion"/>
  </si>
  <si>
    <t>自适应舒适度模型</t>
    <phoneticPr fontId="2" type="noConversion"/>
  </si>
  <si>
    <t>adaptive comfort model</t>
    <phoneticPr fontId="2" type="noConversion"/>
  </si>
  <si>
    <t>冷水机组控制</t>
    <phoneticPr fontId="2" type="noConversion"/>
  </si>
  <si>
    <t>air handling units (AHUs)</t>
    <phoneticPr fontId="2" type="noConversion"/>
  </si>
  <si>
    <t>load prediction</t>
    <phoneticPr fontId="2" type="noConversion"/>
  </si>
  <si>
    <t>Ventilation and Architectural Design</t>
    <phoneticPr fontId="2" type="noConversion"/>
  </si>
  <si>
    <t>ventilation systems</t>
    <phoneticPr fontId="2" type="noConversion"/>
  </si>
  <si>
    <t>Ventilation and thermal comfort</t>
    <phoneticPr fontId="2" type="noConversion"/>
  </si>
  <si>
    <t xml:space="preserve"> ventilation control</t>
    <phoneticPr fontId="2" type="noConversion"/>
  </si>
  <si>
    <t>自然通风新技术</t>
    <phoneticPr fontId="2" type="noConversion"/>
  </si>
  <si>
    <t>New natural ventilation technology</t>
    <phoneticPr fontId="2" type="noConversion"/>
  </si>
  <si>
    <t>large-scale open space</t>
    <phoneticPr fontId="2" type="noConversion"/>
  </si>
  <si>
    <t>tiny spaces</t>
    <phoneticPr fontId="2" type="noConversion"/>
  </si>
  <si>
    <t>污染物扩散</t>
    <phoneticPr fontId="2" type="noConversion"/>
  </si>
  <si>
    <t>pollutant dispersion</t>
    <phoneticPr fontId="2" type="noConversion"/>
  </si>
  <si>
    <t>辐射采暖</t>
    <phoneticPr fontId="2" type="noConversion"/>
  </si>
  <si>
    <t>Radiant Heating</t>
    <phoneticPr fontId="2" type="noConversion"/>
  </si>
  <si>
    <t>radiant cooling</t>
    <phoneticPr fontId="2" type="noConversion"/>
  </si>
  <si>
    <t>heat sources</t>
    <phoneticPr fontId="2" type="noConversion"/>
  </si>
  <si>
    <t>疾病防治</t>
    <phoneticPr fontId="2" type="noConversion"/>
  </si>
  <si>
    <t>Disease Control</t>
    <phoneticPr fontId="2" type="noConversion"/>
  </si>
  <si>
    <t>COVID-19</t>
    <phoneticPr fontId="2" type="noConversion"/>
  </si>
  <si>
    <t>Indicator Assessment and Validation</t>
    <phoneticPr fontId="2" type="noConversion"/>
  </si>
  <si>
    <t>building envelope</t>
    <phoneticPr fontId="2" type="noConversion"/>
  </si>
  <si>
    <t>performance simulation</t>
    <phoneticPr fontId="2" type="noConversion"/>
  </si>
  <si>
    <t>passive building</t>
    <phoneticPr fontId="2" type="noConversion"/>
  </si>
  <si>
    <t>soundscape</t>
    <phoneticPr fontId="2" type="noConversion"/>
  </si>
  <si>
    <t>New Energy Systems</t>
    <phoneticPr fontId="2" type="noConversion"/>
  </si>
  <si>
    <t>Fault Detection</t>
    <phoneticPr fontId="2" type="noConversion"/>
  </si>
  <si>
    <t>combined heat and water system</t>
    <phoneticPr fontId="2" type="noConversion"/>
  </si>
  <si>
    <t>energy demand</t>
    <phoneticPr fontId="2" type="noConversion"/>
  </si>
  <si>
    <t xml:space="preserve"> energy management</t>
    <phoneticPr fontId="2" type="noConversion"/>
  </si>
  <si>
    <t>绿色基础设施</t>
    <phoneticPr fontId="2" type="noConversion"/>
  </si>
  <si>
    <t>green infrastructure</t>
    <phoneticPr fontId="2" type="noConversion"/>
  </si>
  <si>
    <t>城市形态参数分析</t>
    <phoneticPr fontId="2" type="noConversion"/>
  </si>
  <si>
    <t>urban morphological parameters analysis</t>
    <phoneticPr fontId="2" type="noConversion"/>
  </si>
  <si>
    <t>建筑分类</t>
    <phoneticPr fontId="2" type="noConversion"/>
  </si>
  <si>
    <t>archtype Classification</t>
    <phoneticPr fontId="2" type="noConversion"/>
  </si>
  <si>
    <t>行人运动模型</t>
    <phoneticPr fontId="2" type="noConversion"/>
  </si>
  <si>
    <t>Pedestrian movement model</t>
    <phoneticPr fontId="2" type="noConversion"/>
  </si>
  <si>
    <t>occupancy</t>
    <phoneticPr fontId="2" type="noConversion"/>
  </si>
  <si>
    <t>building energy use</t>
    <phoneticPr fontId="2" type="noConversion"/>
  </si>
  <si>
    <t>building simulation</t>
    <phoneticPr fontId="2" type="noConversion"/>
  </si>
  <si>
    <t>构建原型</t>
    <phoneticPr fontId="2" type="noConversion"/>
  </si>
  <si>
    <t>building prototyping</t>
    <phoneticPr fontId="2" type="noConversion"/>
  </si>
  <si>
    <t>呼吸颗粒物定量测试</t>
    <phoneticPr fontId="2" type="noConversion"/>
  </si>
  <si>
    <t>Quantitative Respiratory Particulate Matter Testing</t>
    <phoneticPr fontId="2" type="noConversion"/>
  </si>
  <si>
    <t>particle dispersion</t>
    <phoneticPr fontId="2" type="noConversion"/>
  </si>
  <si>
    <t>cooking grease particles</t>
    <phoneticPr fontId="2" type="noConversion"/>
  </si>
  <si>
    <t>城市分布式光伏</t>
    <phoneticPr fontId="2" type="noConversion"/>
  </si>
  <si>
    <t>Urban distributed photovoltaic</t>
    <phoneticPr fontId="2" type="noConversion"/>
  </si>
  <si>
    <t>Design optimisation</t>
    <phoneticPr fontId="2" type="noConversion"/>
  </si>
  <si>
    <t>建筑设计优化</t>
    <phoneticPr fontId="2" type="noConversion"/>
  </si>
  <si>
    <t>Optimization of architectural design</t>
    <phoneticPr fontId="2" type="noConversion"/>
  </si>
  <si>
    <t>Keywords Plus</t>
  </si>
  <si>
    <t>Document Type</t>
  </si>
  <si>
    <t>Addresses</t>
  </si>
  <si>
    <t>Affiliations</t>
  </si>
  <si>
    <t>Reprint Addresses</t>
  </si>
  <si>
    <t>Email Addresses</t>
  </si>
  <si>
    <t>Number of Pages</t>
  </si>
  <si>
    <t>UT (Unique WOS ID)</t>
  </si>
  <si>
    <t>Article</t>
  </si>
  <si>
    <t>Shandong Jianzhu University</t>
  </si>
  <si>
    <t>Shanghai Jiao Tong University</t>
  </si>
  <si>
    <t>zwlian@sjtu.edu.cn</t>
  </si>
  <si>
    <t>Nanjing Tech University</t>
  </si>
  <si>
    <t>faylee@njtech.edu.cn</t>
  </si>
  <si>
    <t>Editorial Material</t>
  </si>
  <si>
    <t>Hunan University; Hunan University</t>
  </si>
  <si>
    <t>Ai, ZT (corresponding author), Hunan Univ, Coll Civil Engn, Dept Bldg Environm &amp; Energy, Changsha, Hunan, Peoples R China.;Ai, ZT (corresponding author), Hunan Univ, Natl Ctr Int Res Collaborat Bldg Safety &amp; Environm, Changsha, Hunan, Peoples R China.</t>
  </si>
  <si>
    <t>zhengtaoai@hnu.edu.cn</t>
  </si>
  <si>
    <t>weiye@tongji.edu.cn</t>
  </si>
  <si>
    <t>Review</t>
  </si>
  <si>
    <t>fengchi860602@cqu.edu.cn</t>
  </si>
  <si>
    <t>Czech Technical University Prague</t>
  </si>
  <si>
    <t>Vladimir.Zmrhal@fs.cvut.cz</t>
  </si>
  <si>
    <t>xiongjy@bit.edu.cn</t>
  </si>
  <si>
    <t>Dong, B (corresponding author), Syracuse Univ, Dept Mech &amp; Aerosp Engn, Syracuse, NY 13244 USA.</t>
  </si>
  <si>
    <t>bidong@syr.edu</t>
  </si>
  <si>
    <t>youngzhao@zju.edu.cn</t>
  </si>
  <si>
    <t>Xi'an University of Architecture &amp; Technology</t>
  </si>
  <si>
    <t>Xi'an University of Architecture &amp; Technology; Xi'an University of Architecture &amp; Technology</t>
  </si>
  <si>
    <t>Central South University</t>
  </si>
  <si>
    <t>Beijing University of Technology</t>
  </si>
  <si>
    <t>Zhang, WR (corresponding author), Beijing Univ Technol, Key Lab Green Built Environm &amp; Energy Efficient Te, Beijing 100124, Peoples R China.</t>
  </si>
  <si>
    <t>zhangwr@bjut.edu.cn</t>
  </si>
  <si>
    <t>Southeast University - China; Beijing University of Civil Engineering &amp; Architecture; Tsinghua University</t>
  </si>
  <si>
    <t>Zhou, X (corresponding author), Southeast Univ, Sch Architecture, Nanjing 210096, Jiangsu, Peoples R China.</t>
  </si>
  <si>
    <t>zhou-x06@seu.edu.cn</t>
  </si>
  <si>
    <t>yixingchen@hnu.edu.cn</t>
  </si>
  <si>
    <t>Nanjing University</t>
  </si>
  <si>
    <t>Qingdao University of Technology; Hong Kong Polytechnic University; University of Kitakyushu</t>
  </si>
  <si>
    <t>zhouyu@xauat.edu.cn</t>
  </si>
  <si>
    <t>Jiangnan University; Jiangnan University</t>
  </si>
  <si>
    <t>United States Department of Energy (DOE); Lawrence Berkeley National Laboratory</t>
  </si>
  <si>
    <t>MODEL</t>
  </si>
  <si>
    <t>Chen, YX (corresponding author), Hunan Univ, Coll Civil Engn, Changsha 410082, Peoples R China.;Chen, YX (corresponding author), Hunan Univ, Key Lab Bldg Safety &amp; Energy Efficiency, Minist Educ, Changsha 410082, Peoples R China.</t>
  </si>
  <si>
    <t>Luo, CL (corresponding author), Nanjing Univ Sci &amp; Technol, Sch Energy &amp; Power Engn, Nanjing 210094, Peoples R China.</t>
  </si>
  <si>
    <t>xxlong@ustc.edu</t>
  </si>
  <si>
    <t>jqpeng@hnu.edu.cn</t>
  </si>
  <si>
    <t>Qingdao University of Technology; Qingdao University of Technology</t>
  </si>
  <si>
    <t>liulanbin@ustb.edu.cn</t>
  </si>
  <si>
    <t>University of Science &amp; Technology Beijing; University of Science &amp; Technology Beijing</t>
  </si>
  <si>
    <t>sarul@tju.edu.cn</t>
  </si>
  <si>
    <t>Liu, YP; Dong, B</t>
  </si>
  <si>
    <t>Dong, B (corresponding author), Syracuse Univ, Dept Mech &amp; Aerosp Engn, 263 Link Hall, Syracuse, NY 13244 USA.</t>
  </si>
  <si>
    <t>KU Leuven</t>
  </si>
  <si>
    <t>Yan, CC (corresponding author), Nanjing Tech Univ, Coll Urban Construct, 200 North Zhongshan Rd, Nanjing 210009, Peoples R China.</t>
  </si>
  <si>
    <t>chengchu.yan@njtech.edu.cn</t>
  </si>
  <si>
    <t>Lian, ZW</t>
  </si>
  <si>
    <t>Lian, Zhiwei</t>
  </si>
  <si>
    <t>Revisiting thermal comfort and thermal sensation</t>
  </si>
  <si>
    <t>[Lian, Zhiwei] Shanghai Jiao Tong Univ, Dept Architecture, Shanghai 200240, Peoples R China</t>
  </si>
  <si>
    <t>Lian, ZW (corresponding author), Shanghai Jiao Tong Univ, Dept Architecture, Shanghai 200240, Peoples R China.</t>
  </si>
  <si>
    <t>10.1007/s12273-024-1107-8</t>
  </si>
  <si>
    <t>WOS:001145411000003</t>
  </si>
  <si>
    <t>gaoran@xauat.edu.cn</t>
  </si>
  <si>
    <t>Tianjin University</t>
  </si>
  <si>
    <t>Guangzhou University; Guangzhou University</t>
  </si>
  <si>
    <t>ceyuhuang@gzhu.edu.cn</t>
  </si>
  <si>
    <t>linbr@tsinghua.edu.cn</t>
  </si>
  <si>
    <t>Zabihi, M; Li, R; Brinkerhoff, J</t>
  </si>
  <si>
    <t>Zabihi, Mojtaba; Li, Ri; Brinkerhoff, Joshua</t>
  </si>
  <si>
    <t>Influence of indoor airflow on airborne disease transmission in a classroom</t>
  </si>
  <si>
    <t>aerosol transmission; airflow pattern; horizontality; COVID-19 simulation; classroom ventilation</t>
  </si>
  <si>
    <t>POLLUTANT DISPERSION; VENTILATION; SIMULATION; PARTICLES; EXPOSURE; DEPOSITION; TRANSPORT; ROOM; CFD; ENVIRONMENTS</t>
  </si>
  <si>
    <t>It has been widely accepted that the most effective way to mitigate airborne disease transmission in an indoor space is to increase the ventilation airflow, measured in air change per hour (ACH). However, increasing ACH did not effectively prevent the spread of COVID-19. To better understand the role of ACH and airflow large-scale patterns, a comprehensive fully transient computational fluid dynamics (CFD) simulation of two-phase flows based on a discrete phase model (DPM) was performed in a university classroom setting with people present. The investigations encompass various particle sizes, ventilation layouts, and flow rates. The findings demonstrated that the particle size threshold at which particles are deemed airborne is highly influenced by the background flow strength and large-scale flow pattern, ranging from 5 mu m to 10 mu m in the cases investigated. The effects of occupants are significant and must be precisely accounted for in respiratory particle transport studies. An enhanced ventilation design (UFAD-CDR) for university classrooms is introduced that places a premium on mitigating airborne disease spread. Compared to the baseline design at the same ACH, this design successfully reduced the maximum number density of respiratory particles by up to 85%. A novel airflow-related parameter, Horizontality, is introduced to quantify and connect the large-scale airflow pattern with indoor aerosol transport. This underscores that ACH alone cannot ensure or regulate air quality. In addition to the necessary ACH for air exchange, minimizing horizontal bulk motion is essential for reducing aerosol transmissibility within the room.</t>
  </si>
  <si>
    <t>[Zabihi, Mojtaba; Li, Ri; Brinkerhoff, Joshua] Univ British Columbia, Fac Appl Sci, Sch Engn, Kelowna, BC, Canada</t>
  </si>
  <si>
    <t>University of British Columbia</t>
  </si>
  <si>
    <t>Zabihi, M; Li, R (corresponding author), Univ British Columbia, Fac Appl Sci, Sch Engn, Kelowna, BC, Canada.</t>
  </si>
  <si>
    <t>Mojtaba.Zabihi@ubc.ca; Sunny.Li@ubc.ca</t>
  </si>
  <si>
    <t>10.1007/s12273-023-1097-y</t>
  </si>
  <si>
    <t>JAN 2024</t>
  </si>
  <si>
    <t>WOS:001145264600002</t>
  </si>
  <si>
    <t>Wu, RH; Ren, YZ; Tan, MY; Nie, L</t>
  </si>
  <si>
    <t>Wu, Rouhui; Ren, Yizhu; Tan, Mengying; Nie, Lei</t>
  </si>
  <si>
    <t>Fault diagnosis of HVAC system with imbalanced data using multi-scale convolution composite neural network</t>
  </si>
  <si>
    <t>fault diagnosis; chiller; imbalanced data; SMOTETomek; multi-scale; neural networks</t>
  </si>
  <si>
    <t>Accurate fault diagnosis of heating, ventilation, and air conditioning (HVAC) systems is of significant importance for maintaining normal operation, reducing energy consumption, and minimizing maintenance costs. However, in practical applications, it is challenging to obtain sufficient fault data for HVAC systems, leading to imbalanced data, where the number of fault samples is much smaller than that of normal samples. Moreover, most existing HVAC system fault diagnosis methods heavily rely on balanced training sets to achieve high fault diagnosis accuracy. Therefore, to address this issue, a composite neural network fault diagnosis model is proposed, which combines SMOTETomek, multi-scale one-dimensional convolutional neural networks (M1DCNN), and support vector machine (SVM). This method first utilizes SMOTETomek to augment the minority class samples in the imbalanced dataset, achieving a balanced number of faulty and normal data. Then, it employs the M1DCNN model to extract feature information from the augmented dataset. Finally, it replaces the original Softmax classifier with an SVM classifier for classification, thus enhancing the fault diagnosis accuracy. Using the SMOTETomek-M1DCNN-SVM method, we conducted fault diagnosis validation on both the ASHRAE RP-1043 dataset and experimental dataset with an imbalance ratio of 1:10. The results demonstrate the superiority of this approach, providing a novel and promising solution for intelligent building management, with accuracy and F1 scores of 98.45% and 100% for the RP-1043 dataset and experimental dataset, respectively.</t>
  </si>
  <si>
    <t>[Wu, Rouhui; Ren, Yizhu; Tan, Mengying; Nie, Lei] Hubei Univ Technol, Sch Mech Engn, Wuhan 430068, Peoples R China; [Tan, Mengying] Xiangyang Hubei Univ Technol, Ind Res Inst, Xiangyang 441100, Peoples R China</t>
  </si>
  <si>
    <t>Hubei University of Technology</t>
  </si>
  <si>
    <t>Nie, L (corresponding author), Hubei Univ Technol, Sch Mech Engn, Wuhan 430068, Peoples R China.</t>
  </si>
  <si>
    <t>leinie@hbut.edu.cn</t>
  </si>
  <si>
    <t>10.1007/s12273-023-1086-1</t>
  </si>
  <si>
    <t>WOS:001141988900001</t>
  </si>
  <si>
    <t>Concordia University - Canada</t>
  </si>
  <si>
    <t>manar.amayri@concordia.ca</t>
  </si>
  <si>
    <t>Chen, KY; Mo, ZW; Hang, J</t>
  </si>
  <si>
    <t>Chen, Keyi; Mo, Ziwei; Hang, Jian</t>
  </si>
  <si>
    <t>The recirculation flow after different cross-section shaped high-rise buildings with applications to ventilation assessment and drag parameterization</t>
  </si>
  <si>
    <t>recirculation region; cross-section shape; ventilation assessment; drag parameterization; computational fluid dynamics</t>
  </si>
  <si>
    <t>PEDESTRIAN-LEVEL WIND; SUPER-TALL BUILDINGS; CFD SIMULATION; POLLUTANT DISPERSION; URBAN-ENVIRONMENT; COMFORT; TUNNEL</t>
  </si>
  <si>
    <t>The building cross-section shape significantly affects the flow characteristics around buildings, especially the recirculation region behind the high-rise building. Eight generic building shapes including square, triangle, octagon, T-shaped, cross-shaped, #-shaped, H-shaped and L-shaped are examined to elucidate their effects on the flow patterns, recirculation length L and areas A using computational fluid dynamics (CFD) simulations with Reynolds-averaged Navier-Stokes (RANS) approach. The sizes and positions of the vortexes behind the buildings are found to be substantially affected by the building shapes and subsequently changing the recirculation flows. The recirculation length L is in the range of 1.6b-2.6b with an average of 2b. The maximum L is found for L-shaped building (2.6b) while the shortest behind octagon building (1.6b). The vertical recirculation area Av is in the range of 1.5b2-3.2b2 and horizontal area Ah in 0.9b2-2.2b2. The L, Av and Ah generally increase with increasing approaching frontal area when the wind direction changes but subject to the dent structures of the #-shaped and cross-shaped buildings. The area-averaged wind velocity ratio (AVR), which is proposed to assess the ventilation performance, is in the range of 0.05 and 0.14, which is around a three-fold difference among the different building shapes. The drag coefficient parameterized by Ah varies significantly, suggesting that previous models without accounting for building shape effect could result in large uncertainty in the drag predictions. These findings provide important reference for improving pedestrian wind environment and shed some light on refining the urban canopy parameterization by considering the building shape effect.</t>
  </si>
  <si>
    <t>[Chen, Keyi; Mo, Ziwei; Hang, Jian] Sun Yat Sen Univ, Sch Atmospher Sci, Zhuhai 519082, Peoples R China; [Chen, Keyi; Mo, Ziwei; Hang, Jian] Southern Marine Sci &amp; Engn Guangdong Lab, Zhuhai 519082, Peoples R China; [Chen, Keyi; Mo, Ziwei; Hang, Jian] Minist Educ, Key Lab Trop Atmosphere Ocean Syst, Zhuhai 519000, Peoples R China</t>
  </si>
  <si>
    <t>Sun Yat Sen University</t>
  </si>
  <si>
    <t>Mo, ZW (corresponding author), Sun Yat Sen Univ, Sch Atmospher Sci, Zhuhai 519082, Peoples R China.;Mo, ZW (corresponding author), Southern Marine Sci &amp; Engn Guangdong Lab, Zhuhai 519082, Peoples R China.;Mo, ZW (corresponding author), Minist Educ, Key Lab Trop Atmosphere Ocean Syst, Zhuhai 519000, Peoples R China.</t>
  </si>
  <si>
    <t>mozw7@mail.sysu.edu.cn</t>
  </si>
  <si>
    <t>10.1007/s12273-024-1103-z</t>
  </si>
  <si>
    <t>FEB 2024</t>
  </si>
  <si>
    <t>WOS:001168939100001</t>
  </si>
  <si>
    <t>Xu, FS; Tian, DD; Gao, Z; Zhang, JJ</t>
  </si>
  <si>
    <t>Xu, Fusuo; Tian, Dongdong; Gao, Zhi; Zhang, Jianshun Jensen</t>
  </si>
  <si>
    <t>The effects of cool materials, façade orientation, and morphological parameters on energy consumption at the residential neighborhood scale</t>
  </si>
  <si>
    <t>cool materials; building energy saving; neighborhood morphology; facade orientation</t>
  </si>
  <si>
    <t>URBAN HEAT-ISLAND; LAND-SURFACE TEMPERATURE; SKY VIEW FACTOR; THERMAL PERFORMANCE; ROOFS; MITIGATION; BENEFITS; GREEN; IMPROVE; IMPACT</t>
  </si>
  <si>
    <t>Building surface cool materials are novel materials that can reduce urban heat island intensity and decrease building energy consumption. This study investigated the impact of radiative properties of materials, facade orientation, and morphological parameters on energy consumption in six typical residential neighborhoods in Nanjing, China. The neighborhood energy consumption of 16 application schemes considering the facade orientation factor is compared to determine the best energy-saving scheme. Seasonal and annual energy-saving rates, savings in electricity costs, and the price ceiling for materials per unit area are analyzed. The results show that for low-rise buildings, using cool materials only on the roof can reduce the annual energy consumption by 1%. When cool or super cool materials are also used on the building facade, the annual energy saving rate can be up to 3.4% and 4.3%, respectively. Using cool materials on the south facade of buildings is not recommended due to significant heat loss in winter. Considering savings in electricity costs and the price ceiling for materials per unit area, the price of cool and super cool materials should be less than 3.0 and 3.7 RMB/m2, respectively, assuming a lifespan of eight years in Nanjing.</t>
  </si>
  <si>
    <t>[Xu, Fusuo; Tian, Dongdong; Gao, Zhi; Zhang, Jianshun Jensen] Nanjing Univ, Sch Architecture &amp; Urban Planning, 22 Hankou Rd, Nanjing 210093, Jiangsu, Peoples R China; [Zhang, Jianshun Jensen] Syracuse Univ, Dept Mech &amp; Aerosp Engn, Syracuse, NY 13210 USA</t>
  </si>
  <si>
    <t>Nanjing University; Syracuse University</t>
  </si>
  <si>
    <t>Gao, Z (corresponding author), Nanjing Univ, Sch Architecture &amp; Urban Planning, 22 Hankou Rd, Nanjing 210093, Jiangsu, Peoples R China.</t>
  </si>
  <si>
    <t>zhgao@nju.edu.cn</t>
  </si>
  <si>
    <t>10.1007/s12273-023-1096-z</t>
  </si>
  <si>
    <t>WOS:001150376100001</t>
  </si>
  <si>
    <t>Cui, MY; Song, Y; Mao, YD; Yang, KM; Liu, JY; Tian, Z</t>
  </si>
  <si>
    <t>Cui, Mengying; Song, Yang; Mao, Yudong; Yang, Kaimin; Liu, Jiying; Tian, Zhe</t>
  </si>
  <si>
    <t>Potential application of radiant floor cooling systems for residential buildings in different climate zones</t>
  </si>
  <si>
    <t>control strategy; radiant floor cooling system; residential building; energy efficiency; climate zones</t>
  </si>
  <si>
    <t>ADAPTIVE PREDICTIVE CONTROL; ENERGY; TABS; SIMULATION; SURFACES; COMFORT</t>
  </si>
  <si>
    <t>A radiant floor cooling system (RFCS) is a high-comfort and low energy consumption system suitable for residential buildings. Radiant floor systems usually work with fresh air, and their operating performance is affected by climatic conditions. Indoor and outdoor environmental disturbances and the system's control strategy affect the indoor thermal comfort and energy efficiency of the system. Firstly, a multi-story residential building model was established in this study. Transient system simulation program was used to study the operation dynamics of three control strategies of the RFCS based on the calibrated model. Then, the performance of the control strategies in five climate zones in China were compared using multi-criteria decision-making in combination. The results show that control strategy has a negligible effect on condensation risk, but the thermal comfort and economic performance differ for different control strategies. The adaptability of different control strategies varies in different climate zones based on the consideration of multiple factors. The performance of the direct-ground cooling source system is better in Hot summer and warm winter zone. The variable air volume control strategy scores higher in Serve cold and Temperate zones, and the hours exceeding thermal comfort account for less than 3% of the total simulation period. Therefore, it is suggested to choose the RFCS control strategy for residential buildings according to the climate zone characteristics, to increase the energy savings. Our results provide a reliable reference for implementing RFCSs in residential buildings.</t>
  </si>
  <si>
    <t>[Cui, Mengying; Song, Yang; Mao, Yudong; Yang, Kaimin; Liu, Jiying] Shandong Jianzhu Univ, Sch Thermal Engn, Jinan 250101, Peoples R China; [Tian, Zhe] Tianjin Univ, Sch Environm Sci &amp; Engn, Tianjin 300072, Peoples R China; [Tian, Zhe] Tianjin Univ, Key Lab Bldg Environm &amp; Energy Tianjin, Tianjin 300072, Peoples R China</t>
  </si>
  <si>
    <t>Shandong Jianzhu University; Tianjin University; Tianjin University</t>
  </si>
  <si>
    <t>Liu, JY (corresponding author), Shandong Jianzhu Univ, Sch Thermal Engn, Jinan 250101, Peoples R China.;Tian, Z (corresponding author), Tianjin Univ, Sch Environm Sci &amp; Engn, Tianjin 300072, Peoples R China.;Tian, Z (corresponding author), Tianjin Univ, Key Lab Bldg Environm &amp; Energy Tianjin, Tianjin 300072, Peoples R China.</t>
  </si>
  <si>
    <t>JXL83@sdjzu.edu.cn; tianzhe@tju.edu.cn</t>
  </si>
  <si>
    <t>10.1007/s12273-023-1098-x</t>
  </si>
  <si>
    <t>WOS:001158575300001</t>
  </si>
  <si>
    <t>Zhang, YC; Xia, JJ</t>
  </si>
  <si>
    <t>Zhang, Yichi; Xia, Jianjun</t>
  </si>
  <si>
    <t>Seasonal thermal energy storage using natural structures: GIS-based potential assessment for northern China</t>
  </si>
  <si>
    <t>seasonal thermal energy storage; geographical information system; district heating; water reservoir</t>
  </si>
  <si>
    <t>HEAT; SYSTEM; PIT</t>
  </si>
  <si>
    <t>Seasonal thermal energy storage (STES) allows storing heat for long-term and thus promotes the shifting of waste heat resources from summer to winter to decarbonize the district heating (DH) systems. Despite being a promising solution for sustainable energy system, large-scale STES for urban regions is lacking due to the relatively high initial investment and extensive land use. To close the gap, this study assesses the potentials of using two naturally available structures for STES, namely valley and ground pit sites. Based on geographical information system (GIS) methods, the available locations are searched from digital elevation model and selected considering several criteria from land uses and construction difficulties. The costs of dams to impound the reservoir and the yielded storage capacities are then quantified to guide the choice of suitable sites. The assessment is conducted for the northern China where DH systems and significant seasonal differences of energy demand exist. In total, 2,273 valley sites and 75 ground pit sites are finally identified with the energy storage capacity of 15.2 billion GJ, which is much larger than the existing DH demand in northern China. The results also prove that 682 valley sites can be achieved with a dam cost lower than 20 CNY/m3. By conducting sensitivity analysis on the design dam wall height and elevations, the choices of available natural structures are expanded but practical issues about water pressures and constructions are also found. Furthermore, the identified sites are geographically mapped with nearest urban regions to reveal their roles in the DH systems. In general, 560 urban regions are found with potential STES units and most of them have STES storage capacities larger than their own DH demand. The novel planning methodology of this study and publicly available datasets create possibilities for the implementations of large-scale STES in urban DH systems.</t>
  </si>
  <si>
    <t>[Zhang, Yichi] Midea HVAC Heating &amp; Ventilat Equipment Co Ltd, Foshan 528311, Peoples R China; [Xia, Jianjun] Tsinghua Univ, Bldg Energy Res Ctr, Beijing 100084, Peoples R China</t>
  </si>
  <si>
    <t>Tsinghua University</t>
  </si>
  <si>
    <t>Xia, JJ (corresponding author), Tsinghua Univ, Bldg Energy Res Ctr, Beijing 100084, Peoples R China.</t>
  </si>
  <si>
    <t>xiajianjun@tsinghua.edu.cn</t>
  </si>
  <si>
    <t>10.1007/s12273-024-1106-9</t>
  </si>
  <si>
    <t>WOS:001159900300001</t>
  </si>
  <si>
    <t>Zhuang, JW; Chen, GY; Yang, RM; Han, K; Tian, DD; Diao, YF; Shen, HG</t>
  </si>
  <si>
    <t>Zhuang, Jiawei; Chen, Genyang; Yang, Rumeng; Han, Kun; Tian, Dongdong; Diao, Yongfa; Shen, Henggen</t>
  </si>
  <si>
    <t>A theoretical study on gaseous pollutant flushing of natural ventilation driven by buoyancy forces in industrial buildings</t>
  </si>
  <si>
    <t>industrial buildings; buoyancy-driven natural ventilation; gaseous pollutants; evolution model; pollution sources</t>
  </si>
  <si>
    <t>THERMAL ENVIRONMENT; COMFORT; FLOWS</t>
  </si>
  <si>
    <t>The acceleration of industrialization worsening indoor environments of industrial buildings has drawn more attention in recent years. Natural ventilation can improve indoor air quality (IAQ) and reduce carbon emissions. To evaluate gaseous pollutant levels in industrial buildings for the development of buoyancy-driven natural ventilation, two theoretical models of pollutant flushing (Model I and Model II) are developed based on the existing thermal stratification theory in combination with the mixing characteristics of lower pollutant. The results show that indoor pollutant flushing is mainly dependent on the pollution source intensity and effective ventilation area. The mixing characteristics of lower pollutant has an important effect on pollutant stratification and evolution during ventilation, but it does not change the prediction results at steady state. When the dimensionless pollution source intensity is larger than 1, the pollution source should be cleaned up or other ventilation methods should be used instead to improve IAQ. In addition, the comparisons between Model I and Model II on instantaneous pollutant concentration are significantly influenced by the pollution source intensity, and the actual pollutant concentration is more likely to be between the predicted values of Model I and Model II. To reduce pollutant concentration to a required level, the pollution source intensity should be in a certain range. The theoretical models as well as the necessary conditions for ventilation effectiveness obtained can be used for the ventilation optimization design of industrial buildings.</t>
  </si>
  <si>
    <t>[Zhuang, Jiawei; Yang, Rumeng] Changzhou Univ, Sch Urban Construct, Changzhou 213164, Peoples R China; [Chen, Genyang] Changzhou Univ, Sch Petr &amp; Nat Gas Engn, Sch Energy, Changzhou 213164, Peoples R China; [Zhuang, Jiawei; Han, Kun; Diao, Yongfa; Shen, Henggen] Donghua Univ, Coll Environm Sci &amp; Engn, Shanghai 201620, Peoples R China; [Tian, Dongdong] Nanjing Univ, Sch Architecture &amp; Urban Planning, Nanjing 210093, Peoples R China</t>
  </si>
  <si>
    <t>Changzhou University; Changzhou University; Donghua University; Nanjing University</t>
  </si>
  <si>
    <t>Diao, YF (corresponding author), Donghua Univ, Coll Environm Sci &amp; Engn, Shanghai 201620, Peoples R China.</t>
  </si>
  <si>
    <t>diaoyongfa@dhu.edu.cn</t>
  </si>
  <si>
    <t>10.1007/s12273-023-1092-3</t>
  </si>
  <si>
    <t>WOS:001148707100001</t>
  </si>
  <si>
    <t>Zhang, JY; Li, YY; Yin, HG; Liang, LF; Zu, SM; Gao, L; Zhang, Y; Li, AG</t>
  </si>
  <si>
    <t>Zhang, Jingying; Li, Yanyan; Yin, Haiguo; Liang, Linfeng; Zu, Songmei; Gao, Le; Zhang, Ying; Li, Angui</t>
  </si>
  <si>
    <t>Experimental study on the CO2 concentration and age of air distribution inside tiny sleeping spaces</t>
  </si>
  <si>
    <t>attached ventilation mode; human metabolic pollutant; indoor air quality; air exchange efficiency; tiny sleeping spaces</t>
  </si>
  <si>
    <t>ACUTE HEALTH SYMPTOMS; CARBON-DIOXIDE; DISPLACEMENT VENTILATION; TEMPERATURE DISTRIBUTION; PHYSIOLOGICAL-RESPONSES; THERMAL COMFORT; EXPOSURE; QUALITY; PERFORMANCE; BIOEFFLUENTS</t>
  </si>
  <si>
    <t>In recent years, rapid urban development has led to capsule hotels, sleep pods, and other tiny sleeping spaces that adapt to people's fast-paced lives, achieving maximum functionality with a very small footprint. However, due to the small space, human metabolic pollutant (such as CO2) is more likely to accumulate, and the air is not easily circulated. In this paper, a full-size experimental platform is set up with three types of ventilation modes to explore the exclusion efficiency of metabolic pollutants and the overall distribution of age of air under these ventilation modes. The conclusions showed that the mean values of metabolic pollutant exclusion rates for the different ventilation modalities varied very little across the spatial dimensions of the confined space but varied considerably in the area around the head. The double-side attached ventilation method was the most effective in removing human metabolic pollutants, especially in the head region (CN &gt;= 0.92), while the single-wall attached ventilation method had the best air exchange efficiency (eta &gt;= 0.85). This suggests an inconsistent distribution of CO2 and age of air, which is contrary to general common sense. The conclusions of this paper can guide the design of ventilation for tiny sleeping spaces.</t>
  </si>
  <si>
    <t>[Zhang, Jingying; Li, Yanyan; Yin, Haiguo; Liang, Linfeng; Zu, Songmei; Gao, Le; Zhang, Ying; Li, Angui] Xian Univ Architecture &amp; Technol, Sch Bldg Serv Sci &amp; Engn, Xian 710055, Shaanxi, Peoples R China</t>
  </si>
  <si>
    <t>Yin, HG (corresponding author), Xian Univ Architecture &amp; Technol, Sch Bldg Serv Sci &amp; Engn, Xian 710055, Shaanxi, Peoples R China.</t>
  </si>
  <si>
    <t>yinhaiguo@xauat.edu.cn</t>
  </si>
  <si>
    <t>10.1007/s12273-024-1101-1</t>
  </si>
  <si>
    <t>WOS:001164255300001</t>
  </si>
  <si>
    <t>Geng, XT; Xie, D; Gou, ZH</t>
  </si>
  <si>
    <t>Geng, Xiaotian; Xie, Dong; Gou, Zhonghua</t>
  </si>
  <si>
    <t>Optimizing urban block morphologies for net-zero energy cities: Exploring photovoltaic potential and urban design prototype</t>
  </si>
  <si>
    <t>net-zero energy; solar energy; urban density; urban morphology; multi-objective optimization; photovoltaic potential</t>
  </si>
  <si>
    <t>SOLAR-ENERGY; OPTIMIZATION; BUILDINGS; NEIGHBORHOODS; TECHNOLOGY; SYSTEMS; COST</t>
  </si>
  <si>
    <t>The morphology of urban areas plays a crucial role in determining solar potential, which directly affects photovoltaic capacity and the achievement of net-zero outcomes. This study focuses on the City of Melbourne to investigate the utilization of solar energy across different urban densities and proposes optimized morphologies. The analysis encompasses blocks with diverse population densities, examining medium and high-density areas. By utilizing a multi-objective genetic optimization approach, the urban morphology of these blocks is refined. The findings indicate that low-density blocks exhibit photovoltaic potential ranging from 1 to 6.6 times their total energy consumption. Medium and high-density blocks achieve photovoltaic potential levels approximately equivalent to 40%-85% of their overall energy consumption. Moreover, significant variations in photovoltaic potential are observed among different urban forms within medium and high-density blocks. An elevated corners with central valley prototype is proposed as an effective approach, enhancing the overall photovoltaic potential by approximately 14%. This study introduces novel analytical concepts, shedding light on the intricate relationship between urban morphologies and photovoltaic potential.</t>
  </si>
  <si>
    <t>[Geng, Xiaotian; Xie, Dong; Gou, Zhonghua] Wuhan Univ, Sch Urban Design, Wuhan, Peoples R China</t>
  </si>
  <si>
    <t>Wuhan University</t>
  </si>
  <si>
    <t>Gou, ZH (corresponding author), Wuhan Univ, Sch Urban Design, Wuhan, Peoples R China.</t>
  </si>
  <si>
    <t>zh.gou@whu.edu.cn</t>
  </si>
  <si>
    <t>10.1007/s12273-024-1104-y</t>
  </si>
  <si>
    <t>WOS:001141988900002</t>
  </si>
  <si>
    <t>Qian, FY; Ruan, YJ; Lu, HM; Meng, H; Xu, TT</t>
  </si>
  <si>
    <t>Qian, Fanyue; Ruan, Yingjun; Lu, Huiming; Meng, Hua; Xu, Tingting</t>
  </si>
  <si>
    <t>Enhancing source domain availability through data and feature transfer learning for building power load forecasting</t>
  </si>
  <si>
    <t>building power load; multi-source transfer learning; two-stage TrAdaBoost.R2; source domain availability</t>
  </si>
  <si>
    <t>RESIDENTIAL BUILDINGS; PREDICTION; MODEL</t>
  </si>
  <si>
    <t>During the initial phases of operation following the construction or renovation of existing buildings, the availability of historical power usage data is limited, which leads to lower accuracy in load forecasting and hinders normal usage. Fortunately, by transferring load data from similar buildings, it is possible to enhance forecasting accuracy. However, indiscriminately expanding all source domain data to the target domain is highly likely to result in negative transfer learning. This study explores the feasibility of utilizing similar buildings (source domains) in transfer learning by implementing and comparing two distinct forms of multi-source transfer learning. Firstly, this study focuses on the Higashita area in Kitakyushu City, Japan, as the research object. Four buildings that exhibit the highest similarity to the target buildings within this area were selected for analysis. Next, the two-stage TrAdaBoost.R2 algorithm is used for multi-source transfer learning, and its transfer effect is analyzed. Finally, the application effects of instance-based (IBMTL) and feature-based (FBMTL) multi-source transfer learning are compared, which explained the effect of the source domain data on the forecasting accuracy in different transfer modes. The results show that combining the two-stage TrAdaBoost.R2 algorithm with multi-source data can reduce the CV-RMSE by 7.23% compared to a single-source domain, and the accuracy improvement is significant. At the same time, multi-source transfer learning, which is based on instance, can better supplement the integrity of the target domain data and has a higher forecasting accuracy. Overall, IBMTL tends to retain effective data associations and FBMTL shows higher forecasting stability. The findings of this study, which include the verification of real-life algorithm application and source domain availability, can serve as a theoretical reference for implementing transfer learning in load forecasting.</t>
  </si>
  <si>
    <t>[Qian, Fanyue; Ruan, Yingjun; Meng, Hua; Xu, Tingting] Tongji Univ, Coll Mech &amp; Energy Engn, Shanghai 200092, Peoples R China; [Lu, Huiming] United Automot Elect Syst Co Ltd, Shanghai 201206, Peoples R China</t>
  </si>
  <si>
    <t>Tongji University</t>
  </si>
  <si>
    <t>Ruan, YJ (corresponding author), Tongji Univ, Coll Mech &amp; Energy Engn, Shanghai 200092, Peoples R China.;Lu, HM (corresponding author), United Automot Elect Syst Co Ltd, Shanghai 201206, Peoples R China.</t>
  </si>
  <si>
    <t>ruanyj@tongji.edu.cn; luhuiming19@163.com</t>
  </si>
  <si>
    <t>10.1007/s12273-023-1087-0</t>
  </si>
  <si>
    <t>WOS:001142466200001</t>
  </si>
  <si>
    <t>Xing, SS; Zhang, JL; Mu, S</t>
  </si>
  <si>
    <t>Xing, Shanshuo; Zhang, Jili; Mu, Song</t>
  </si>
  <si>
    <t>An optimization-oriented modeling approach using input convex neural networks and its application on optimal chiller loading</t>
  </si>
  <si>
    <t>chiller plant; input convex neural network; optimal load distribution; convex optimization</t>
  </si>
  <si>
    <t>SIMULATION; MANAGEMENT; ALGORITHM</t>
  </si>
  <si>
    <t>Optimization for the multi-chiller system is an indispensable approach for the operation of highly efficient chiller plants. The optima obtained by model-based optimization algorithms are dependent on precise and solvable objective functions. The classical neural networks cannot provide convex input-output mappings despite capturing impressive nonlinear fitting capabilities, resulting in a reduction in the robustness of model-based optimization. In this paper, we leverage the input convex neural networks (ICNN) to identify the chiller model to construct a convex mapping between control variables and the objective function, which enables the NN-based OCL as a convex optimization problem and apply it to multi-chiller optimization for optimal chiller loading (OCL). Approximation performances are evaluated through a four-model comparison based on an experimental data set, and the statistical results show that, on the premise of retaining prior convexities, the proposed model depicts excellent approximation power for the data set, especially the unseen data. Finally, the ICNN model is applied to a typical OCL problem for a multi-chiller system and combined with three types of optimization strategies. Compared with conventional and meta-heuristic methods, the numerical results suggest that the gradient-based BFGS algorithm provides better energy-saving ratios facing consecutive cooling load inputs and an impressive convergence speed.</t>
  </si>
  <si>
    <t>[Xing, Shanshuo; Zhang, Jili] Dalian Univ Technol, Dalian 116024, Peoples R China; [Mu, Song] Guangdong Airport Baiyun Informat Technol Co Ltd, Guangzhou 510000, Peoples R China</t>
  </si>
  <si>
    <t>Dalian University of Technology</t>
  </si>
  <si>
    <t>Zhang, JL (corresponding author), Dalian Univ Technol, Dalian 116024, Peoples R China.</t>
  </si>
  <si>
    <t>zjldlut@dlut.edu.cn</t>
  </si>
  <si>
    <t>10.1007/s12273-023-1093-2</t>
  </si>
  <si>
    <t>WOS:001148148400001</t>
  </si>
  <si>
    <t>Cheng, SY; Tekler, ZD; Jia, HY; Li, WX; Chong, AD</t>
  </si>
  <si>
    <t>Cheng, Siyu; Tekler, Zeynep Duygu; Jia, Hongyuan; Li, Wenxin; Chong, Adrian</t>
  </si>
  <si>
    <t>Evaluating different levels of information on the calibration of building energy simulation models</t>
  </si>
  <si>
    <t>calibration; building energy simulation (BES); energy conservation measure (ECM); level of information; field measurements</t>
  </si>
  <si>
    <t>BAYESIAN CALIBRATION; OCCUPANT BEHAVIOR; UNCERTAINTY; IMPACT; METHODOLOGY; PERFORMANCE; EFFICIENCY; FRAMEWORK; ACCURACY; PROGRAMS</t>
  </si>
  <si>
    <t>A poorly calibrated model undermines confidence in the effectiveness of building energy simulation, impeding the widespread application of advanced energy conservation measures (ECMs). Striking a balance between information-gathering efforts and achieving sufficient model credibility is crucial but often obscured by ambiguities. To address this gap, we model and calibrate a test bed with different levels of information (LOI). Beginning with an initial model based on building geometry (LOI 1), we progressively introduce additional information, including nameplate information (LOI 2), envelope conductivity (LOI 3), zone infiltration rate (LOI 4), AHU fan power (LOI 5), and HVAC data (LOI 6). The models are evaluated for accuracy, consistency, and the robustness of their predictions. Our results indicate that adding more information for calibration leads to improved data fit. However, this improvement is not uniform across all observed outputs due to identifiability issues. Furthermore, for energy-saving analysis, adding more information can significantly affect the projected energy savings by up to two times. Nevertheless, for ECM ranking, models that did not meet ASHRAE 14 accuracy thresholds can yield correct retrofit decisions. These findings underscore equifinality in modeling complex building systems. Clearly, predictive accuracy is not synonymous with model credibility. Therefore, to balance efforts in information-gathering and model reliability, it is crucial to (1) determine the minimum level of information required for calibration compatible with its intended purpose and (2) calibrate models with information closely linked to all outputs of interest, particularly when simultaneous accuracy for multiple outputs is necessary.</t>
  </si>
  <si>
    <t>[Cheng, Siyu; Tekler, Zeynep Duygu; Chong, Adrian] Natl Univ Singapore, Coll Design &amp; Engn, Dept Built Environm, 4 Architecture Dr, Singapore 117566, Singapore; [Jia, Hongyuan] Chongqing Univ Sci &amp; Technol, Sch Civil Engn &amp; Architecture, Chongqing 401331, Peoples R China; [Li, Wenxin] Southeast Univ, Sch Energy &amp; Environm, Nanjing 210096, Peoples R China</t>
  </si>
  <si>
    <t>National University of Singapore; Chongqing University of Science &amp; Technology; Southeast University - China</t>
  </si>
  <si>
    <t>Chong, AD (corresponding author), Natl Univ Singapore, Coll Design &amp; Engn, Dept Built Environm, 4 Architecture Dr, Singapore 117566, Singapore.</t>
  </si>
  <si>
    <t>adrian.chong@nus.edu.sg</t>
  </si>
  <si>
    <t>10.1007/s12273-024-1115-8</t>
  </si>
  <si>
    <t>WOS:001169395000001</t>
  </si>
  <si>
    <t>Gao, K; Haddad, S; Paolini, R; Feng, J; Altheeb, M; Al Mogirah, A; Moammar, AB; Santamouris, M</t>
  </si>
  <si>
    <t>Gao, Kai; Haddad, Shamila; Paolini, Riccardo; Feng, Jie; Altheeb, Muzahim; Al Mogirah, Abdulrahman; Moammar, Abdullatif Bin; Santamouris, Mattheos</t>
  </si>
  <si>
    <t>The use of green infrastructure and irrigation in the mitigation of urban heat in a desert city</t>
  </si>
  <si>
    <t>green infrastructure; evapotranspiration cooling; desert city; irrigation; urban overheating</t>
  </si>
  <si>
    <t>LAND-COVER; CLIMATE; TEMPERATURE; VEGETATION; IMPACT; ISLAND; MODEL; EVAPOTRANSPIRATION; IMPLEMENTATION; MORTALITY</t>
  </si>
  <si>
    <t>Severe urban heat, a prevalent climate change consequence, endangers city residents globally. Vegetation-based mitigation strategies are commonly employed to address this issue. However, the Middle East and North Africa are under investigated in terms of heat mitigation, despite being one of the regions most vulnerable to climate change. This study assesses the feasibility and climatic implications of wide-scale implementation of green infrastructure (GI) for heat mitigation in Riyadh, Saudi Arabia-a representative desert city characterized by low vegetation coverage, severe summer heat, and drought. Weather research forecasting model (WRF) is used to simulate GI cooling measures in Riyadh's summer condition, including measures of increasing vegetation coverage up to 60%, considering irrigation and vegetation types (tall/short). In Riyadh, without irrigation, increasing GI fails to cool the city and can even lead to warming (0.1 to 0.3 degrees C). Despite irrigation, Riyadh's overall GI cooling effect is 50% lower than GI cooling expectations based on literature meta-analyses, in terms of average peak hour temperature reduction. The study highlights that increased irrigation substantially raises the rate of direct soil evaporation, reducing the proportion of irrigation water used for transpiration and thus diminishing efficiency. Concurrently, water resource management must be tailored to these specific considerations.</t>
  </si>
  <si>
    <t>[Gao, Kai; Haddad, Shamila; Paolini, Riccardo; Feng, Jie; Santamouris, Mattheos] Univ New South Wales, Fac Arts Design &amp; Architecture, Sch Built Environm, Sydney, NSW 2052, Australia; [Altheeb, Muzahim; Al Mogirah, Abdulrahman; Moammar, Abdullatif Bin] Royal Commiss Riyadh City, Riyadh, Saudi Arabia; [Gao, Kai] Chinese Univ Hong Kong, Inst Digest Dis, Hong Kong, Peoples R China; [Feng, Jie] Hong Kong Polytech Univ, Dept Bldg Serv Engn, Hong Kong, Peoples R China</t>
  </si>
  <si>
    <t>University of New South Wales Sydney; Chinese University of Hong Kong; Hong Kong Polytechnic University</t>
  </si>
  <si>
    <t>Gao, K (corresponding author), Univ New South Wales, Fac Arts Design &amp; Architecture, Sch Built Environm, Sydney, NSW 2052, Australia.;Gao, K (corresponding author), Chinese Univ Hong Kong, Inst Digest Dis, Hong Kong, Peoples R China.</t>
  </si>
  <si>
    <t>kaigao@cuhk.edu.hk</t>
  </si>
  <si>
    <t>10.1007/s12273-024-1110-0</t>
  </si>
  <si>
    <t>WOS:001169395000002</t>
  </si>
  <si>
    <t>Mondal, N; Anand, P; Khan, A; Deb, C; Cheong, DV; Sekhar, C; Niyogi, D; Santamouris, M</t>
  </si>
  <si>
    <t>Mondal, Nilabhra; Anand, Prashant; Khan, Ansar; Deb, Chirag; Cheong, David; Sekhar, Chandra; Niyogi, Dev; Santamouris, Mattheos</t>
  </si>
  <si>
    <t>Systematic review of the efficacy of data-driven urban building energy models during extreme heat in cities: Current trends and future outlook</t>
  </si>
  <si>
    <t>urban heat island (UHI); urban micro-climate; urban morphology; urban building energy modelling (UBEM); digital twin; short term load forecasting (STLF); google earth engine (GEE)</t>
  </si>
  <si>
    <t>SIMULATION SYSTEM; CONSUMPTION; PERFORMANCE; DEMAND; IMPACT; CLIMATE; GENERATION; PREDICTION; FRAMEWORK; LEVEL</t>
  </si>
  <si>
    <t>Energy demand fluctuations due to low probability high impact (LPHI) micro-climatic events such as urban heat island effect (UHI) and heatwaves, pose significant challenges for urban infrastructure, particularly within urban built-clusters. Mapping short term load forecasting (STLF) of buildings in urban micro-climatic setting (UMS) is obscured by the complex interplay of surrounding morphology, micro-climate and inter-building energy dynamics. Conventional urban building energy modelling (UBEM) approaches to provide quantitative insights about building energy consumption often neglect the synergistic impacts of micro-climate and urban morphology in short temporal scale. Reduced order modelling, unavailability of rich urban datasets such as building key performance indicators for building archetypes-characterization, limit the inter-building energy dynamics consideration into UBEMs. In addition, mismatch of resolutions of spatio-temporal datasets (meso to micro scale transition), LPHI events extent prediction around UMS as well as its accurate quantitative inclusion in UBEM input organization step pose another degree of limitations. This review aims to direct attention towards an integrated-UBEM (i-UBEM) framework to capture the building load fluctuation over multi-scale spatio-temporal scenario. It highlights usage of emerging data-driven hybrid approaches, after systematically analysing developments and limitations of recent physical, data-driven artificial intelligence and machine learning (AI-ML) based modelling approaches. It also discusses the potential integration of google earth engine (GEE)-cloud computing platform in UBEM input organization step to (i) map the land surface temperature (LST) data (quantitative attribute implying LPHI event occurrence), (ii) manage and pre-process high-resolution spatio-temporal UBEM input-datasets. Further the potential of digital twin, central structed data models to integrate along UBEM workflow to reduce uncertainties related to building archetype characterizations is explored. It has also found that a trade-off between high-fidelity baseline simulation models and computationally efficient platform support or co-simulation platform integration is essential to capture LPHI induced inter-building energy dynamics.</t>
  </si>
  <si>
    <t>[Mondal, Nilabhra; Anand, Prashant] Indian Inst Technol Kharagpur, Dept Architecture &amp; Reg Planning, Kharagpur, India; [Khan, Ansar] Univ Calcutta, Lalbaba Coll, Dept Geog, Kolkata, India; [Deb, Chirag] Univ Sydney, Sch Architecture Design &amp; Planning, Sydney, Australia; [Cheong, David; Sekhar, Chandra] Natl Univ Singapore, Dept Built Environm, Singapore, Singapore; [Niyogi, Dev] Univ Texas Austin, Jackson Sch Geosci, Dept Geol Sci, Austin, TX 78712 USA; [Niyogi, Dev] Univ Texas Austin, Dept Civil Architectural &amp; Environm Engn, Austin, TX 78712 USA; [Santamouris, Mattheos] Univ New South Wales, Fac Built Environm, Kensington, NSW, Australia</t>
  </si>
  <si>
    <t>Indian Institute of Technology System (IIT System); Indian Institute of Technology (IIT) - Kharagpur; University of Calcutta; University of Sydney; National University of Singapore; University of Texas System; University of Texas Austin; University of Texas System; University of Texas Austin; University of New South Wales Sydney</t>
  </si>
  <si>
    <t>Anand, P (corresponding author), Indian Inst Technol Kharagpur, Dept Architecture &amp; Reg Planning, Kharagpur, India.</t>
  </si>
  <si>
    <t>prashantanand@arp.iitkgp.ac.in</t>
  </si>
  <si>
    <t>10.1007/s12273-024-1112-y</t>
  </si>
  <si>
    <t>MAR 2024</t>
  </si>
  <si>
    <t>WOS:001182234500001</t>
  </si>
  <si>
    <t>Santika, BB; Lee, H; Jeon, JY</t>
  </si>
  <si>
    <t>Santika, Beta Bayu; Lee, Haram; Jeon, Jin Yong</t>
  </si>
  <si>
    <t>Investigation of acoustic attributes based on preference and perceptional acoustics of Korean traditional halls for optimal design solutions</t>
  </si>
  <si>
    <t>Korean traditional hall; acoustical parameters; perceptual evaluation; acoustic preference; stage volume ratio</t>
  </si>
  <si>
    <t>SOUND FIELD; CONCERT</t>
  </si>
  <si>
    <t>Immersed in the rich tapestry of traditional culture, Gugak, the traditional Korean music stands as a captivating embodiment of artistic expression. This study embarked on a comprehensive evaluation of a Gugak hall, employing acoustic measurements, computer simulations, and subjective perception surveys. The evaluation focused on the reverberance, clarity, spatial impression, and preference, unravelling the secrets that shape the immersive Gugak experience. Through intricate computer simulations and auralization, the experience of Gugak performances was meticulously brought to life, allowing exploration under diverse conditions by adjusting stage volume ratios from -20% to +20% and modifying the interior materials, including the walls, ceiling, and lateral reflectors. Although Gugak halls exhibited relatively low values of reverberation time (RT), early decay time (EDT), and binaural quality index (BQI) the dominant factor influencing the acoustic environment was the effect of sound strength (G). Musical clarity (C80) value did not show an inverse proportionality to the reverberation time. Furthermore, genre differences between traditional Korean and Western classical music did not significantly affect listeners' perception and satisfaction with regards to reverberance, clarity, and spatial impression. As a result, Gugak halls can adhere to the same acoustic design criteria as Western orchestra halls, since this study found that people perceived them the same way. In this study, sound strength was found to be strongly correlated with perception indicators. It was possible to enhance listeners' perception and preference regarding the acoustic environment through material and structural changes to the sidewalls and ceiling. These changes improved the reinforcement of low frequencies and simultaneously enhanced the relative effect of side reflections. Additionally, enhancing the reflection and spatial characteristics of the materials effectively improved listener preference. Based on these findings, an optimal design solution was proposed.</t>
  </si>
  <si>
    <t>[Santika, Beta Bayu; Lee, Haram; Jeon, Jin Yong] Hanyang Univ, Dept Architectural Engn, Seoul 04763, South Korea</t>
  </si>
  <si>
    <t>Hanyang University</t>
  </si>
  <si>
    <t>Jeon, JY (corresponding author), Hanyang Univ, Dept Architectural Engn, Seoul 04763, South Korea.</t>
  </si>
  <si>
    <t>Jyjeon@hanyang.ac.kr</t>
  </si>
  <si>
    <t>10.1007/s12273-024-1113-x</t>
  </si>
  <si>
    <t>WOS:001185503900001</t>
  </si>
  <si>
    <t>Coraci, D; Brandi, S; Hong, TZ; Capozzoli, A</t>
  </si>
  <si>
    <t>Coraci, Davide; Brandi, Silvio; Hong, Tianzhen; Capozzoli, Alfonso</t>
  </si>
  <si>
    <t>An innovative heterogeneous transfer learning framework to enhance the scalability of deep reinforcement learning controllers in buildings with integrated energy systems</t>
  </si>
  <si>
    <t>transfer learning; reinforcement learning; building control; building energy management</t>
  </si>
  <si>
    <t>MANAGEMENT; MODEL; SIMULATION</t>
  </si>
  <si>
    <t>Deep Reinforcement Learning (DRL)-based control shows enhanced performance in the management of integrated energy systems when compared with Rule-Based Controllers (RBCs), but it still lacks scalability and generalisation due to the necessity of using tailored models for the training process. Transfer Learning (TL) is a potential solution to address this limitation. However, existing TL applications in building control have been mostly tested among buildings with similar features, not addressing the need to scale up advanced control in real-world scenarios with diverse energy systems. This paper assesses the performance of an online heterogeneous TL strategy, comparing it with RBC and offline and online DRL controllers in a simulation setup using EnergyPlus and Python. The study tests the transfer in both transductive and inductive settings of a DRL policy designed to manage a chiller coupled with a Thermal Energy Storage (TES). The control policy is pre-trained on a source building and transferred to various target buildings characterised by an integrated energy system including photovoltaic and battery energy storage systems, different building envelope features, occupancy schedule and boundary conditions (e.g., weather and price signal). The TL approach incorporates model slicing, imitation learning and fine-tuning to handle diverse state spaces and reward functions between source and target buildings. Results show that the proposed methodology leads to a reduction of 10% in electricity cost and between 10% and 40% in the mean value of the daily average temperature violation rate compared to RBC and online DRL controllers. Moreover, online TL maximises self-sufficiency and self-consumption by 9% and 11% with respect to RBC. Conversely, online TL achieves worse performance compared to offline DRL in either transductive or inductive settings. However, offline Deep Reinforcement Learning (DRL) agents should be trained at least for 15 episodes to reach the same level of performance as the online TL. Therefore, the proposed online TL methodology is effective, completely model-free and it can be directly implemented in real buildings with satisfying performance.</t>
  </si>
  <si>
    <t>[Coraci, Davide; Brandi, Silvio; Capozzoli, Alfonso] Politecn Torino, BAEDA Lab, DOE, TEBE Res Grp, Corso Duca Abruzzi 24, I-10129 Turin, Italy; [Hong, Tianzhen] Lawrence Berkeley Natl Lab, Bldg Technol &amp; Urban Syst Div, One Cyclotron Rd, Berkeley, CA 94720 USA</t>
  </si>
  <si>
    <t>Polytechnic University of Turin; United States Department of Energy (DOE); Lawrence Berkeley National Laboratory</t>
  </si>
  <si>
    <t>Capozzoli, A (corresponding author), Politecn Torino, BAEDA Lab, DOE, TEBE Res Grp, Corso Duca Abruzzi 24, I-10129 Turin, Italy.</t>
  </si>
  <si>
    <t>alfonso.capozzoli@polito.it</t>
  </si>
  <si>
    <t>10.1007/s12273-024-1109-6</t>
  </si>
  <si>
    <t>WOS:001168939100002</t>
  </si>
  <si>
    <t>Zhu, LY; Li, X; Feng, BJ; Liu, F</t>
  </si>
  <si>
    <t>Zhu, Liangyu; Li, Xian; Feng, Bujin; Liu, Fan</t>
  </si>
  <si>
    <t>Evaluation of transmission risk of respiratory particles under different ventilation strategies in an elevator</t>
  </si>
  <si>
    <t>particle dispersion; transmission risk; elevator; ventilation strategy; computational fluid dynamics (CFD)</t>
  </si>
  <si>
    <t>DROPLETS</t>
  </si>
  <si>
    <t>People in elevators are at risk of respiratory infection because the elevator cabin is crowded and has poor ventilation. The exhaled particles may be inhaled by the susceptible person, deposited on the surface and suspended in the elevator, which can result in direct and indirect transmission. However, whether the air vent designs adopted in the elevator can effectively reduce the transmission risk of respiratory particles remains unknown. In this study, the dispersion of particles under four common ventilation strategies used in the commercial elevator was investigated by proven computational fluid dynamics (CFD) simulations. The flow field was simulated with the RNG k-xi turbulence model and the Lagrangian method was adopted to track particle trajectories. The effects of air vent layout and airflow rate on particle transmission were analyzed. We found that more than 50% of exhaled particles (average value) were suspended in the cabin and difficult to discharge under the investigated ventilation strategies. The deposited fraction of particles on the susceptible person reached up to 39.14% for infiltration ventilation, which led to a high risk of contact infection. Increasing the ventilation rate could not significantly reduce the inhalation proportion of particles due to the poor airflow distribution inside the elevator. A more proper ventilation strategy should be explored for the elevator to control transmission risk.</t>
  </si>
  <si>
    <t>[Zhu, Liangyu; Li, Xian] Linyi Univ, Sch Civil Engn &amp; Architecture, Linyi 276000, Peoples R China; [Feng, Bujin] Shandong Agr Univ, Coll Anim Sci &amp; Technol, Tai An 271018, Peoples R China; [Liu, Fan] Univ Shanghai Sci &amp; Technol, Sch Environm &amp; Architecture, Shanghai 200093, Peoples R China</t>
  </si>
  <si>
    <t>Linyi University; Shandong Agricultural University; University of Shanghai for Science &amp; Technology</t>
  </si>
  <si>
    <t>Li, X (corresponding author), Linyi Univ, Sch Civil Engn &amp; Architecture, Linyi 276000, Peoples R China.</t>
  </si>
  <si>
    <t>lixian@lyu.edu.cn</t>
  </si>
  <si>
    <t>10.1007/s12273-024-1102-0</t>
  </si>
  <si>
    <t>WOS:001145264600001</t>
  </si>
  <si>
    <t>Zhang, YL; Yin, SL; Mu, HW; Zhang, XL; Tan, QL; Shao, B</t>
  </si>
  <si>
    <t>Zhang, Yongliang; Yin, Shili; Mu, Hongwei; Zhang, Xilong; Tan, Qinglei; Shao, Bing</t>
  </si>
  <si>
    <t>Study on the performance of lightweight roadway wall thermal insulation coating containing EP-GHB mixed ceramsite</t>
  </si>
  <si>
    <t>high-temperature mine; thermal insulation coating; orthogonal experimental; optimal fit ratio; numerical simulation</t>
  </si>
  <si>
    <t>EXPANDED PERLITE; HIGH-TEMPERATURE; COMPOSITES; SIMULATION; AEROGELS</t>
  </si>
  <si>
    <t>As the mining depth increases, the problem of high-temperature thermal damage mainly caused by heat dissipation of surrounding rock is becoming more and more obvious. It is very important to solve the environmental problem of mine heat damage to improve the efficiency of mineral resource exploitation and protect the physical and mental health of workers. One can apply thermal insulation coating on the walls of mine roadways as a means of implementing active heat insulation. In this paper, expanded perlite (EP) and glazed hollow bead (GHB) are used as the main thermal insulation materials, ceramsite and sand as aggregate, plus glass fiber and sodium dodecyl sulfate to develop a new lightweight composite thermal insulation coating through orthogonal experiment method. According to the plate heat flow meter method and mechanical test method, the thermal insulation and mechanical properties of EP-GHB mixed ceramsite coating were studied by making specimens with different parameter ratios, and according to the analysis of the experimental results, the optimal mix ratio of the coating was selected. In addition, Fluent numerical simulation software was used to establish the roadway model, and the thermal insulation effect of the coating in the roadway under different working conditions was studied. The results show that the thermal conductivity of the prepared composite thermal insulation coating material is only 8.5% of that of ordinary cement mortar, and the optimal thickness of adding thermal insulation coating is 0.2 m, which can reduce the outlet air temperature of the roadway with a length of 1000 m by 4.87 K at this thickness. The thermal insulation coating developed in this study has the advantages of simple technology and strong practicability, and has certain popularization and application value in mine heat damage control.</t>
  </si>
  <si>
    <t>[Zhang, Yongliang; Yin, Shili; Mu, Hongwei; Zhang, Xilong; Tan, Qinglei; Shao, Bing] Qingdao Univ Technol, Key Lab Ind Fluid Energy Conservat &amp; Pollut Contro, Minist Educ, Qingdao 266520, Shandong, Peoples R China; [Zhang, Yongliang; Yin, Shili; Mu, Hongwei; Zhang, Xilong; Tan, Qinglei; Shao, Bing] Qingdao Univ Technol, Coll Mech &amp; Automot Engn, Qingdao 266520, Shandong, Peoples R China</t>
  </si>
  <si>
    <t>Yin, SL (corresponding author), Qingdao Univ Technol, Key Lab Ind Fluid Energy Conservat &amp; Pollut Contro, Minist Educ, Qingdao 266520, Shandong, Peoples R China.;Yin, SL (corresponding author), Qingdao Univ Technol, Coll Mech &amp; Automot Engn, Qingdao 266520, Shandong, Peoples R China.</t>
  </si>
  <si>
    <t>yinsl1123@163.com</t>
  </si>
  <si>
    <t>10.1007/s12273-024-1105-x</t>
  </si>
  <si>
    <t>WOS:001154970400001</t>
  </si>
  <si>
    <t>Wang, MJ; Xu, WY; Cao, GZ; Liu, T</t>
  </si>
  <si>
    <t>Wang, Maojun; Xu, Wenyu; Cao, Guangzhong; Liu, Tao</t>
  </si>
  <si>
    <t>Identification of rural courtyards' utilization status using deep learning and machine learning methods on unmanned aerial vehicle images in north China</t>
  </si>
  <si>
    <t>unoccupied homesteads; courtyard built environment; inner courtyard management; GLR; solar water heaters; machine learning algorithms</t>
  </si>
  <si>
    <t>HOUSING ABANDONMENT; URBANIZATION; TRANSITION; HOUSES</t>
  </si>
  <si>
    <t>The issue of unoccupied or abandoned homesteads (courtyards) in China emerges given the increasing aging population, rapid urbanization and massive rural-urban migration. From the aspect of rural vitalization, land-use planning, and policy making, determining the number of unoccupied courtyards is important. Field and questionnaire-based surveys were currently the main approaches, but these traditional methods were often expensive and laborious. A new workflow is explored using deep learning and machine learning algorithms on unmanned aerial vehicle (UAV) images. Initially, features of the built environment were extracted using deep learning to evaluate the courtyard management, including extracting complete or collapsed farmhouses by Alexnet, detecting solar water heaters by YOLOv5s, calculating green looking ratio (GLR) by FCN. Their precisions exceeded 98%. Then, seven machine learning algorithms (Adaboost, binomial logistic regression, neural network, random forest, support vector machine, decision trees, and XGBoost algorithms) were applied to identify the rural courtyards' utilization status. The Adaboost algorithm showed the best performance with the comprehensive consideration of most metrics (Accuracy: 0.933, Precision: 0.932, Recall: 0.984, F1-score: 0.957). Results showed that identifying the courtyards' utilization statuses based on the courtyard built environment is feasible. It is transferable and cost-effective for large-scale village surveys, and may contribute to the intensive and sustainable approach to rural land use.</t>
  </si>
  <si>
    <t>[Wang, Maojun; Xu, Wenyu] Capital Normal Univ, Coll Resource Environm &amp; Tourism, Beijing 100048, Peoples R China; [Cao, Guangzhong; Liu, Tao] Peking Univ, Coll Urban &amp; Environm Sci, Beijing 100871, Peoples R China</t>
  </si>
  <si>
    <t>Capital Normal University; Peking University</t>
  </si>
  <si>
    <t>Wang, MJ (corresponding author), Capital Normal Univ, Coll Resource Environm &amp; Tourism, Beijing 100048, Peoples R China.</t>
  </si>
  <si>
    <t>maojunw@yeah.net</t>
  </si>
  <si>
    <t>10.1007/s12273-023-1099-9</t>
  </si>
  <si>
    <t>WOS:001155290800001</t>
  </si>
  <si>
    <t>Shen, YQ; Hu, YB; Cheng, K; Yan, HN; Cai, KX; Hua, JY; Fei, XM; Wang, QY</t>
  </si>
  <si>
    <t>Shen, Yeqin; Hu, Yubing; Cheng, Kai; Yan, Hainan; Cai, Kaixiang; Hua, Jianye; Fei, Xuemin; Wang, Qinyu</t>
  </si>
  <si>
    <t>Utilizing interpretable stacking ensemble learning and NSGA-III for the prediction and optimisation of building photo-thermal environment and energy consumption</t>
  </si>
  <si>
    <t>building ecological performance; ensemble learning; multi-objective optimisation; sustainable design; explainable machine learning</t>
  </si>
  <si>
    <t>ARTIFICIAL NEURAL-NETWORK; ELECTRICITY CONSUMPTION; SHADING DEVICES; PERFORMANCE; DESIGN; METHODOLOGY; ILLUMINANCE; GENERATION; MODELS</t>
  </si>
  <si>
    <t>This study develops an approach consisting of a stacking model integrated with a multi-objective optimisation algorithm aimed at predicting and optimising the ecological performance of buildings. The integrated model consists of five base models and a meta-model, which significantly improves the prediction performance. Specifically, the R2 value was improved by 9.19% and the error metrics MAE, MSE, MAPE, and CVRMSE were reduced by 69.47%, 79.88%, 67.32%, and 57.02%, respectively, compared to the single prediction model. According to the research on interpretable machine learning, adding the SHAP value gives us a deeper understanding of the impact of each architectural design parameter on the performance. In the multi-objective optimisation part, we used the NSGA-III algorithm to successfully improve the energy efficiency, daylight utilisation and thermal comfort of the building. Specifically, the optimal design solution reduces the energy use intensity by 31.6 kWh/m2, improves the useful daylight index by 39%, and modulated the thermal comfort index, resulting in a decrement of 0.69 degrees C for the summer season and an enhancement of 0.64 degrees C for the winter season, respectively. Overall, this study provides building designers and decision makers with a tool to make better design decisions at an early stage to achieve a better combination of energy efficiency, daylight utilisation and thermal comfort optimisation in an integrated manner, providing an important support for achieving sustainable building design.</t>
  </si>
  <si>
    <t>[Shen, Yeqin; Hu, Yubing; Cheng, Kai; Hua, Jianye; Fei, Xuemin; Wang, Qinyu] Jiangsu Univ, Sch Arts, Zhenjiang 212013, Peoples R China; [Yan, Hainan] Nanjing Univ, Sch Architecture &amp; Urban Planning, Nanjing 210093, Peoples R China; [Cai, Kaixiang] Jiangsu Univ, Sch Comp Sci &amp; Commun Engn, Zhenjiang 212013, Peoples R China</t>
  </si>
  <si>
    <t>Jiangsu University; Nanjing University; Jiangsu University</t>
  </si>
  <si>
    <t>Cheng, K (corresponding author), Jiangsu Univ, Sch Arts, Zhenjiang 212013, Peoples R China.</t>
  </si>
  <si>
    <t>kai_gift@ujs.edu.cn</t>
  </si>
  <si>
    <t>10.1007/s12273-024-1108-7</t>
  </si>
  <si>
    <t>WOS:001169392900001</t>
  </si>
  <si>
    <t>Aparicio-Ruiz, P; Barbadilla-Martín, E; Guadix, J; Muñuzuri, J</t>
  </si>
  <si>
    <t>Aparicio-Ruiz, Pablo; Barbadilla-Martin, Elena; Guadix, Jose; Munuzuri, Jesus</t>
  </si>
  <si>
    <t>Predicting the clothing insulation through machine learning algorithms: A comparative analysis and a practical approach</t>
  </si>
  <si>
    <t>clothing insulation simulation; adaptive thermal comfort; behavioural adaptive actions; machine learning</t>
  </si>
  <si>
    <t>MODE OFFICE BUILDINGS; THERMAL COMFORT; BEHAVIOR; WEATHER; CLIMATE; TEMPERATURE; OCCUPANTS</t>
  </si>
  <si>
    <t>Since indoor clothing insulation is a key element in thermal comfort models, the aim of the present study is proposing an approach for predicting it, which could assist the occupants of a building in terms of recommendations regarding their ensemble. For that, a systematic analysis of input variables is exposed, and 13 regression and 12 classification machine learning algorithms were developed and compared. The results are based on data from 3352 questionnaires and 21 input variables from a field study in mixed-mode office buildings in Spain. Outdoor temperature at 6 a.m., indoor air temperature, indoor relative humidity, comfort temperature and gender were the most relevant features for predicting clothing insulation. When comparing machine learning algorithms, decision tree-based algorithms with Boosting techniques achieved the best performance. The proposed model provides an efficient method for forecasting the clothing insulation level and its application would entail optimising thermal comfort and energy efficiency.</t>
  </si>
  <si>
    <t>[Aparicio-Ruiz, Pablo; Barbadilla-Martin, Elena; Guadix, Jose; Munuzuri, Jesus] Univ Seville, Escuela Tecn Super Ingn, Grp Ingn Org, Camino Descubrimientos S-N, Seville 41092, Spain</t>
  </si>
  <si>
    <t>University of Sevilla</t>
  </si>
  <si>
    <t>Barbadilla-Martín, E (corresponding author), Univ Seville, Escuela Tecn Super Ingn, Grp Ingn Org, Camino Descubrimientos S-N, Seville 41092, Spain.</t>
  </si>
  <si>
    <t>ebarbadilla@us.es</t>
  </si>
  <si>
    <t>10.1007/s12273-024-1114-9</t>
  </si>
  <si>
    <t>WOS:001185745100001</t>
  </si>
  <si>
    <t>Abazari, T; Potvin, A; Gosselin, L; Demers, CMH</t>
  </si>
  <si>
    <t>Abazari, Tarlan; Potvin, Andre; Gosselin, Louis; Demers, Claude M. H.</t>
  </si>
  <si>
    <t>Developing biophilic intermediate spaces for Arctic housing: Optimizing the thermal, visual, and energy performance</t>
  </si>
  <si>
    <t>Arctic housing; intermediate spaces; biophilic design; positive thermal transitions; daylight availability; energy efficiency</t>
  </si>
  <si>
    <t>TRANSITIONAL SPACES; BUILDINGS; RESPONSES; COMFORT</t>
  </si>
  <si>
    <t>Connecting occupants to the outdoor environment and incorporating biophilic design principles are challenging in extreme Arctic climatic conditions. Existing Arctic housing models do not provide efficient thermal and daylight transitions which are essential for the well-being and cultural needs of their occupants. To address these challenges, this research develops free-running biophilic intermediate spaces, integrated into an existing Arctic housing model. Numerical simulation methods are employed to optimize the primary and secondary architectural design variables for 26 case studies of intermediate spaces. Primary variables include volume, transparency ratio, and orientation. Secondary variables include materials and physical adjacency. Temperature, Daylight Factor/Autonomy, and Energy Use are evaluated as performance indicators. Results reveal that free-running intermediate spaces with 6 meters depth and a transparency ratio above 50% provide efficient indoor-outdoor transitions regarding thermal, visual, and energy performance. Such architectural configurations contribute to an approximately 5% reduction in energy consumption within the housing unit compared to the baseline. Opening side windows prevents the risk of overheating during the summer by reducing the average indoor temperature of intermediate spaces by 7 degrees C but increases the overall energy consumption. As a potential alternative to double-glazing, polycarbonate sheets enable efficient thermal performance by increasing the average indoor temperature of intermediate spaces by approximately 15 degrees C during the cold Arctic seasons. Using polycarbonate sheets results in a 16.6% reduction in energy consumption compared to using double-glazing material in intermediate space, and a 26% reduction from the baseline. Research outcomes contribute to efficient indoor-outdoor connections and energy efficiency in Arctic housing.</t>
  </si>
  <si>
    <t>[Abazari, Tarlan; Potvin, Andre; Demers, Claude M. H.] Laval Univ, Sch Architecture, GRAP Grp Rech Ambiance Phys, Quebec City, PQ G1V 0A6, Canada; [Gosselin, Louis] Laval Univ, Fac Sci &amp; Engn, Dept Mech Engn, Quebec City, PQ, Canada</t>
  </si>
  <si>
    <t>Laval University; Laval University</t>
  </si>
  <si>
    <t>Abazari, T (corresponding author), Laval Univ, Sch Architecture, GRAP Grp Rech Ambiance Phys, Quebec City, PQ G1V 0A6, Canada.</t>
  </si>
  <si>
    <t>tarlan.abazari.1@ulaval.ca</t>
  </si>
  <si>
    <t>10.1007/s12273-024-1126-5</t>
  </si>
  <si>
    <t>MAY 2024</t>
  </si>
  <si>
    <t>WOS:001220395900001</t>
  </si>
  <si>
    <t>Ye, YY; Faulkner, CA; Jung, WY; Zhang, J; Brock, E</t>
  </si>
  <si>
    <t>Ye, Yunyang; Faulkner, Cary A.; Jung, Wooyoung; Zhang, Jian; Brock, Eli</t>
  </si>
  <si>
    <t>A new database of building-space-specific internal loads and load schedules for performance based code compliance modeling of commercial buildings</t>
  </si>
  <si>
    <t>load; load schedule; space specific; building energy modeling; code compliance</t>
  </si>
  <si>
    <t>LIGHTING CONTROL; OCCUPANCY; SIMULATION; OPERATIONS</t>
  </si>
  <si>
    <t>Building-level loads and load schedules prescribed by current modeling rules save modelers time and provide standards during whole building performance modeling. However, recent studies show that they sometimes insufficiently capture the entire building performance due to the varied loads and load schedules for different space types. As a solution to this issue, this paper presents a database of default building-space-specific loads and load schedules for use in energy modeling, and in particular code compliance modeling for commercial buildings. The existing sets of default loads and load schedules are reviewed and the challenges behind using them for specific research topics are discussed. Then, the proposed method to develop the building-space-specific loads and load schedules is introduced. After that, the database for these building-space-specific loads and load schedules is presented. In addition, one case is studied to demonstrate the applications of these loads and load schedules. In this case study, three methods are used to develop building energy models: space-specific (using knowledge of the distribution and location of space types and applying the space-specific data in the developed database), building-level (assuming a lack of knowledge of the space types and using the building-level data in the developed database), and calculated-ratio (assuming knowledge of the distribution of space types but not their locations and calculating weighted average values based on the space-specific data in the developed database). The energy results simulated by using these three methods are compared, which shows building-level methods can produce significantly different absolute energy and energy savings results than the results using space-specific methods. Finally, this paper discusses the application scope and maintenance of this new database.</t>
  </si>
  <si>
    <t>[Ye, Yunyang; Faulkner, Cary A.; Jung, Wooyoung; Zhang, Jian] Pacific Northwest Natl Lab, Richland, WA 99354 USA; [Brock, Eli] Univ Pittsburgh, Pittsburgh, PA 15260 USA</t>
  </si>
  <si>
    <t>United States Department of Energy (DOE); Pacific Northwest National Laboratory; Pennsylvania Commonwealth System of Higher Education (PCSHE); University of Pittsburgh</t>
  </si>
  <si>
    <t>Zhang, J (corresponding author), Pacific Northwest Natl Lab, Richland, WA 99354 USA.</t>
  </si>
  <si>
    <t>j.zhang@pnnl.gov</t>
  </si>
  <si>
    <t>10.1007/s12273-024-1111-z</t>
  </si>
  <si>
    <t>WOS:001216864700001</t>
  </si>
  <si>
    <t>Amaripadath, D; Santamouris, M; Attia, S</t>
  </si>
  <si>
    <t>Amaripadath, Deepak; Santamouris, Mattheos; Attia, Shady</t>
  </si>
  <si>
    <t>Climate change induced heat stress impact on workplace productivity in a net zero-carbon timber building towards the end of the century</t>
  </si>
  <si>
    <t>heat exposure; office buildings; work capacity; thermal mass; climate change</t>
  </si>
  <si>
    <t>LABOR PRODUCTIVITY; ENERGY; WOOD; MITIGATION; COMFORT; WBGT; MASS</t>
  </si>
  <si>
    <t>Changing climate intensifies heat stress, resulting in a greater risk of workplace productivity decline in timber office buildings with low internal thermal mass. The impact of climate change induced heat exposure on indoor workplace productivity in timber office buildings has not been extensively researched. Therefore, further investigation to reduce the work capacity decline towards the end of the century is needed. Here, heat exposure in a net zero-carbon timber building near Brussels, Belgium, was evaluated using a reproducible comparative approach with different internal thermal mass levels. The analysis indicated that strategies with increased thermal mass were more effective in limiting the effects of heat exposure on workplace productivity. The medium and high thermal mass strategies reduced workplace productivity loss to 0.1% in the current, 0.3% and 0.2% in the midfuture, and 4.9% and 3.9% for future scenarios. In comparison, baseline with low thermal mass yielded a decline of 2.3%, 3.3%, and 8.2%. The variation in maximum and minimum wet-bulb globe temperatures were also lower for medium and high thermal mass strategies than for low thermal mass baseline. The study findings lead to the formulation of design guidelines, identification of research gaps, and recommendations for future work.</t>
  </si>
  <si>
    <t>[Amaripadath, Deepak] Arizona State Univ, Sch Geog Sci &amp; Urban Planning, Tempe, AZ 85281 USA; [Amaripadath, Deepak] Arizona State Univ, Urban Climate Res Ctr, Tempe, AZ 85281 USA; [Santamouris, Mattheos] Univ New South Wales, Sch Built Environm, Sydney 2052, Australia; [Attia, Shady] Univ Liege, Fac Appl Sci, Dept UEE, Sustainable Bldg Design Lab, Liege, Belgium</t>
  </si>
  <si>
    <t>Arizona State University; Arizona State University-Tempe; Arizona State University; Arizona State University-Tempe; University of New South Wales Sydney; University of Liege</t>
  </si>
  <si>
    <t>Amaripadath, D (corresponding author), Arizona State Univ, Sch Geog Sci &amp; Urban Planning, Tempe, AZ 85281 USA.;Amaripadath, D (corresponding author), Arizona State Univ, Urban Climate Res Ctr, Tempe, AZ 85281 USA.</t>
  </si>
  <si>
    <t>deepak.amaripadath@asu.edu</t>
  </si>
  <si>
    <t>10.1007/s12273-024-1116-7</t>
  </si>
  <si>
    <t>WOS:001183661400001</t>
  </si>
  <si>
    <t>Zhou, XY; Chen, H; Wu, Y; Zhang, TG</t>
  </si>
  <si>
    <t>Zhou, Xuanyi; Chen, Heng; Wu, Yue; Zhang, Tiange</t>
  </si>
  <si>
    <t>Simulation of roof snow loads based on a multi-layer snowmelt model: Impact of building heat transfer</t>
  </si>
  <si>
    <t>snowmelt model; roof snow load; building heat transfer; thermal coefficient; load code</t>
  </si>
  <si>
    <t>REPRESENTATIVE SITES; ENERGY</t>
  </si>
  <si>
    <t>To investigate the impact of building heat transfer on roof snow loads, roof snow loads and snow load thermal coefficients from 61 Chinese sites over a period of 50 years are simulated based on basic meteorological data such as temperature, humidity, wind speed, and precipitation, and a multi-layer snowmelt model considering the building heat transfer. Firstly, the accuracy of the multi-layer snowmelt model is validated using the data of observed ground snow load and roof snow melting tests. The relationship between meteorological conditions, snow cover characteristics, and thermal coefficients of snow loads in three representative sites is then studied. Furthermore, the characteristics of thermal coefficients in each zone are analyzed by combining them with the statistical results of meteorological data from 1960 to 2010, and the equations of thermal coefficients in different zones on indoor temperatures and roof heat transfer coefficients are fitted separately. Finally, the equations in this paper are compared with the thermal coefficients in the main snow load codes. The results indicate that the snowmelt model using basic meteorological data can effectively provide samples of roof snow loads. In the cold zone where the snow cover lasts for a long time and does not melt easily, the thermal coefficients of the snow loads on the heating buildings are lower than those in the warm zone due to the long-term influence of the heat from inside the buildings. Thermal coefficients are negatively correlated with indoor temperatures and roof heat transfer coefficients. When the indoor temperature is too low or the roof insulation is good, the roof snow load may exceed the ground snow load. The thermal coefficients for heated buildings in the main snow load codes are more conservative than those calculated in this paper, and the thermal coefficients for buildings with lower indoor temperatures tend to be smaller.</t>
  </si>
  <si>
    <t>[Zhou, Xuanyi; Chen, Heng; Wu, Yue; Zhang, Tiange] Tongji Univ, State Key Lab Disaster Reduct Civil Engn, Shanghai 200092, Peoples R China</t>
  </si>
  <si>
    <t>Wu, Y (corresponding author), Tongji Univ, State Key Lab Disaster Reduct Civil Engn, Shanghai 200092, Peoples R China.</t>
  </si>
  <si>
    <t>wuyue518@tongji.edu.cn</t>
  </si>
  <si>
    <t>10.1007/s12273-024-1119-4</t>
  </si>
  <si>
    <t>APR 2024</t>
  </si>
  <si>
    <t>WOS:001204696800001</t>
  </si>
  <si>
    <t>Wei, HL; Jiao, YH; Wang, Z; Wang, W; Zhang, T</t>
  </si>
  <si>
    <t>Wei, Hailu; Jiao, Yuanhao; Wang, Zhe; Wang, Wei; Zhang, Tong</t>
  </si>
  <si>
    <t>Optimal retrofitting scenarios of multi-objective energy-efficient historic building under different national goals integrating energy simulation, reduced order modelling and NSGA-II algorithm</t>
  </si>
  <si>
    <t>historic building; energy-efficient retrofitting; building energy simulation; log-additive decomposition approach; NSGA-II</t>
  </si>
  <si>
    <t>CONSUMPTION; FRAMEWORK; SAVINGS; OFFICE</t>
  </si>
  <si>
    <t>Retrofitting a historic building under different national goals involves multiple objectives, constraints, and numerous potential measures and packages, therefore it is time-consuming and challenging during the early design stage. This study introduces a systematic retrofitting approach that incorporates standard measures for the building envelope (walls, windows, roof), as well as the heating, cooling, and lighting systems. Three retrofit objectives are delineated based on prevailing Chinese standards. The retrofit measures function as genes to optimize energy-savings, carbon emissions, and net present value (NPV) by employing a log-additive decomposition approach through energy simulation techniques and NSGA-II, yielding 185, 163, and 8 solutions. Subsequently, a weighted sum method is proposed to derive optimal solutions across multiple scenarios. The framework is applied to a courtyard building in Nanjing, China, and the outcomes of the implementation are scrutinized to ascertain the optimal retrofit package under various scenarios. Through this retrofit, energy consumption can be diminished by up to 63.62%, resulting in an NPV growth of 151.84%, and maximum rate of 60.48% carbon reduction. These three result values not only indicate that the optimal values are achieved in these three aspects of energy saving, carbon reduction and economy, but also show the possibility of possible equilibrium in this multi-objective optimization problem. The framework proposed in this study effectively addresses the multi-objective optimization challenge in building renovation by employing a reliable optimization algorithm with a computationally efficient reduced-order model. It provides valuable insights and recommendations for optimizing energy retrofit strategies and meeting various performance objectives.</t>
  </si>
  <si>
    <t>[Wei, Hailu; Jiao, Yuanhao; Wang, Wei; Zhang, Tong] Southeast Univ, Sch Architecture, Nanjing 210096, Jiangsu, Peoples R China; [Wang, Wei] Southeast Univ, Key Lab Urban &amp; Architectural Heritage Conservat, Minist Educ, Nanjing, Peoples R China; [Wang, Zhe] Hong Kong Univ Sci &amp; Technol, Dept Civil &amp; Environm Engn, Hong Kong, Peoples R China; [Wang, Zhe] HKUST Shenzhen Hong Kong Collaborat Innovat Res In, Shenzhen, Peoples R China</t>
  </si>
  <si>
    <t>Southeast University - China; Southeast University - China; Hong Kong University of Science &amp; Technology</t>
  </si>
  <si>
    <t>Wang, W; Zhang, T (corresponding author), Southeast Univ, Sch Architecture, Nanjing 210096, Jiangsu, Peoples R China.;Wang, W (corresponding author), Southeast Univ, Key Lab Urban &amp; Architectural Heritage Conservat, Minist Educ, Nanjing, Peoples R China.</t>
  </si>
  <si>
    <t>weiwang@seu.edu.cn; hytong@seu.edu.cn</t>
  </si>
  <si>
    <t>10.1007/s12273-024-1122-9</t>
  </si>
  <si>
    <t>WOS:001204696800002</t>
  </si>
  <si>
    <t>Su, XX; Luo, CL; Chen, XZ; Ji, J; Yu, YS; Wu, YD; Zou, W</t>
  </si>
  <si>
    <t>Su, Xiaoxiao; Luo, Chenglong; Chen, Xinzhu; Ji, Jie; Yu, Yanshun; Wu, Yuandan; Zou, Wu</t>
  </si>
  <si>
    <t>Numerical modeling of all-day albedo variation for bifacial PV systems on rooftops and annual yield prediction in Beijing</t>
  </si>
  <si>
    <t>bifacial PV module; ground albedo; simulation; carbon emission reduction</t>
  </si>
  <si>
    <t>ENERGY YIELD; PERFORMANCE; MODULES; POWER</t>
  </si>
  <si>
    <t>Bifacial PV modules capture solar radiation from both sides, enhancing power generation by utilizing reflected sunlight. However, there are difficulties in obtaining ground albedo data due to its dynamic variations. To address this issue, this study established an experimental testing system on a rooftop and developed a model to analyze dynamic albedo variations, utilizing specific data from the environment. The results showed that the all-day dynamic variations in ground albedo ranged from 0.15 to 0.22 with an average of 0.16. Furthermore, this study evaluates the annual performance of a bifacial PV system in Beijing by considering the experimental conditions, utilizing bifacial modules with a front-side efficiency of 21.23% and a bifaciality factor of 0.8, and analyzing the dynamic all-day albedo data obtained from the numerical module. The results indicate that the annual radiation on the rear side of bifacial PV modules is 278.90 kWh/m2, which accounts for only 15.50% of the front-side radiation. However, when using the commonly default albedo value of 0.2, the rear-side radiation is 333.01 kWh/m2, resulting in an overestimation of 19.40%. Under dynamic albedo conditions, the bifacial system is predicted to generate an annual power output of 412.55 kWh/m2, representing a significant increase of approximately 12.37% compared to an idealized monofacial PV system with equivalent front-side efficiency. Over a 25-year lifespan, the bifacial PV system is estimated to reduce carbon emissions by 8393.91 kgCO2/m2, providing an additional reduction of 924.31 kgCO2/m2 compared to the idealized monofacial PV system. These findings offer valuable insights to promote the application of bifacial PV modules.</t>
  </si>
  <si>
    <t>[Su, Xiaoxiao; Luo, Chenglong; Chen, Xinzhu; Yu, Yanshun; Wu, Yuandan] Nanjing Univ Sci &amp; Technol, Sch Energy &amp; Power Engn, Nanjing 210094, Peoples R China; [Ji, Jie] Univ Sci &amp; Technol China, Dept Thermal Sci &amp; Energy Engn, Hefei 230027, Peoples R China; [Wu, Yuandan; Zou, Wu] Jiangxi Acad Sci, Inst Energy Res, Nanchang 330096, Peoples R China</t>
  </si>
  <si>
    <t>Nanjing University of Science &amp; Technology; Chinese Academy of Sciences; University of Science &amp; Technology of China, CAS; Jiangxi Academy of Sciences</t>
  </si>
  <si>
    <t>10.1007/s12273-024-1120-y</t>
  </si>
  <si>
    <t>WOS:001190187500001</t>
  </si>
  <si>
    <t>Zhang, YQ; Tao, FM; Qiu, BQ; Li, XM; Chen, YX; Han, ZW</t>
  </si>
  <si>
    <t>Zhang, Yiqi; Tao, Fumin; Qiu, Baoqi; Li, Xiuming; Chen, Yixing; Han, Zongwei</t>
  </si>
  <si>
    <t>Interpretable data-driven fault diagnosis method for data centers with composite air conditioning system</t>
  </si>
  <si>
    <t>data center; composite air conditioning system; fault detection and diagnosis; interpretable artificial intelligence</t>
  </si>
  <si>
    <t>Fault detection and diagnosis are essential to the air conditioning system of the data center for elevating reliability and reducing energy consumption. This study proposed a convolutional neural network (CNN) based data-driven fault detection and diagnosis model considering temporal dependency for composite air conditioning system that is capable of cooling the high heat flux in data centers. The input of fault detection and diagnosis model was an unsteady dataset generated by the experimentally validated transient mathematical model. The dataset concerned three typical faults, including refrigerant leakage, evaporator fan breakdown, and condenser fouling. Then, the CNN model was trained to construct a map between the input and system operating conditions. Further, the performance of the CNN model was validated by comparing it with the support vector machine and the neural network. Finally, the score-weighted class mapping activation method was utilized to interpret model diagnosis mechanisms and to identify key input features in various operating modes. The results demonstrated in the pump-driven heat pipe mode, the accuracy of the CNN model was 99.14%, increasing by around 8.5% compared with the other two methods. In the vapor compression mode, the accuracy of the CNN model achieved 99.9% and declined the miss rate of refrigerant leakage by at least 61% comparatively. The score-weighted class mapping activation results indicated the ambient temperature and the actuator-related parameters, such as compressor frequency in vapor compression mode and condenser fan frequency in pump-driven heat pipe mode, were essential features in system fault detection and diagnosis.</t>
  </si>
  <si>
    <t>[Zhang, Yiqi; Tao, Fumin; Qiu, Baoqi; Li, Xiuming; Han, Zongwei] Northeastern Univ, Sch Met, SEP Key Lab Ecoind, Shenyang 110819, Peoples R China; [Zhang, Yiqi; Tao, Fumin; Qiu, Baoqi; Li, Xiuming; Han, Zongwei] Northeastern Univ, Energy Saving &amp; Low carbon Technol Proc Ind Engn R, Shenyang 110819, Peoples R China; [Chen, Yixing] Hunan Univ, Coll Civil Engn, Changsha 410082, Peoples R China</t>
  </si>
  <si>
    <t>Northeastern University - China; Northeastern University - China; Hunan University</t>
  </si>
  <si>
    <t>Han, ZW (corresponding author), Northeastern Univ, Sch Met, SEP Key Lab Ecoind, Shenyang 110819, Peoples R China.;Han, ZW (corresponding author), Northeastern Univ, Energy Saving &amp; Low carbon Technol Proc Ind Engn R, Shenyang 110819, Peoples R China.</t>
  </si>
  <si>
    <t>hanzw@smm.neu.edu.cn</t>
  </si>
  <si>
    <t>10.1007/s12273-024-1124-7</t>
  </si>
  <si>
    <t>WOS:001226640900001</t>
  </si>
  <si>
    <t>Yang, YR; Geng, Y; Tang, H; Yuan, MF; Yu, J; Lin, BR</t>
  </si>
  <si>
    <t>Yang, Yuren; Geng, Yang; Tang, Hao; Yuan, Mufeng; Yu, Juan; Lin, Borong</t>
  </si>
  <si>
    <t>Extraction method of typical IEQ spatial distributions based on low-rank sparse representation and multi-step clustering</t>
  </si>
  <si>
    <t>indoor environment quality (IEQ); thermal environment; spatial distribution; temperature field; low-rank sparse representation (LRSR); clustering</t>
  </si>
  <si>
    <t>WIRELESS SENSOR NETWORKS; ENVIRONMENT; VISUALIZATION; DISCOVERY</t>
  </si>
  <si>
    <t>Indoor environment quality (IEQ) is one of the most concerned building performances during the operation stage. The non-uniform spatial distribution of various IEQ parameters in large-scale public buildings has been demonstrated to be an essential factor affecting occupant comfort and building energy consumption. Currently, IEQ sensors have been widely employed in buildings to monitor thermal, visual, acoustic and air quality. However, there is a lack of effective methods for exploring the typical spatial distribution of indoor environmental quality parameters, which is crucial for assessing and controlling non-uniform indoor environments. In this study, a novel clustering method for extracting IEQ spatial distribution patterns is proposed. Firstly, representation vectors reflecting IEQ distributions in the concerned space are generated based on the low-rank sparse representation. Secondly, a multi-step clustering method, which addressed the problems of the curse of dimensionality, is designed to obtain typical IEQ distribution patterns of the entire indoor space. The proposed method was applied to the analysis of indoor thermal environment in Beijing Daxing international airport terminal. As a result, four typical temperature spatial distribution patterns of the terminal were extracted from a four-month monitoring, which had been validated for their good representativeness. These typical patterns revealed typical environmental issues in the terminal, such as long-term localized overheating and temperature increases due to a sudden influx of people. The extracted typical IEQ spatial distribution patterns could assist building operators in effectively assessing the uneven distribution of IEQ space under current environmental conditions, facilitating targeted environmental improvements, optimization of thermal comfort levels, and application of energy-saving measures.</t>
  </si>
  <si>
    <t>[Yang, Yuren; Geng, Yang; Tang, Hao; Yuan, Mufeng; Yu, Juan; Lin, Borong] Tsinghua Univ, Sch Architecture, Beijing, Peoples R China; [Yang, Yuren; Geng, Yang; Tang, Hao; Yuan, Mufeng; Yu, Juan; Lin, Borong] Tsinghua Univ, Key Lab Eco Planning &amp; Green Bldg, Minist Educ, Beijing, Peoples R China</t>
  </si>
  <si>
    <t>Tsinghua University; Tsinghua University</t>
  </si>
  <si>
    <t>Geng, Y (corresponding author), Tsinghua Univ, Sch Architecture, Beijing, Peoples R China.;Geng, Y (corresponding author), Tsinghua Univ, Key Lab Eco Planning &amp; Green Bldg, Minist Educ, Beijing, Peoples R China.</t>
  </si>
  <si>
    <t>gengy@tsinghua.edu.cn</t>
  </si>
  <si>
    <t>10.1007/s12273-024-1117-6</t>
  </si>
  <si>
    <t>WOS:001186154000001</t>
  </si>
  <si>
    <t>Zheng, S; Song, XJ; Lin, DM; Xue, Y; Yang, XD</t>
  </si>
  <si>
    <t>Zheng, Shu; Song, Xiujiao; Lin, Duanmu; Xue, Yu; Yang, Xudong</t>
  </si>
  <si>
    <t>Comparison of models to predict air infiltration rate of buildings with different surrounding environments</t>
  </si>
  <si>
    <t>air infiltration rate models; CFD simulation; building surrounding; air infiltration rate test</t>
  </si>
  <si>
    <t>INDOOR AIR; VENTILATION; SIMULATION; QUALITY; SPACE; CFD</t>
  </si>
  <si>
    <t>The air infiltration rate of buildings strongly influences indoor environment and energy consumption. In this study, several traditional methods for determining the air infiltration rate were compared, and their accuracy in different scenarios was examined. Additionally, a method combining computational flow dynamics (CFD) with the Swami and Chandra (S-C) model was developed to predict the influence of the surrounding environment on the air infiltration rate. Two buildings in Dalian, China, were selected: one with a simple surrounding environment and the other with a complex surrounding environment; their air infiltration rates were measured. The test results were used to validate the accuracy of the air infiltration rate solution models in different urban environments. For the building with a simple environment, the difference between the simulation and experimental results was 0.86%-22.52%. For the building with a complex environment, this difference ranged from 17.42% to 159.28%. We found that most traditional models provide accurate results for buildings with simple surrounding and that the simulation results widely vary for buildings with complex surrounding. The results of the method of combining CFD with the S-C model were more accurate, and the relative error between the simulation and test results was 10.61%. The results indicate that the environment around the building should be fully considered when calculating the air infiltration rate. The results of this study can guide the application of methods of determining air infiltration rate.</t>
  </si>
  <si>
    <t>[Zheng, Shu; Song, Xiujiao; Yang, Xudong] Tsinghua Univ, Dept Bldg Sci, Beijing 100084, Peoples R China; [Zheng, Shu; Lin, Duanmu; Xue, Yu] Dalian Univ Technol, Sch Civil Engn, Dalian 116024, Peoples R China; [Yang, Xudong] Tsinghua Univ, Shanxi Res Inst Clean Energy, Taiyuan 030032, Peoples R China</t>
  </si>
  <si>
    <t>Tsinghua University; Dalian University of Technology; Tsinghua University</t>
  </si>
  <si>
    <t>Yang, XD (corresponding author), Tsinghua Univ, Dept Bldg Sci, Beijing 100084, Peoples R China.;Xue, Y (corresponding author), Dalian Univ Technol, Sch Civil Engn, Dalian 116024, Peoples R China.;Yang, XD (corresponding author), Tsinghua Univ, Shanxi Res Inst Clean Energy, Taiyuan 030032, Peoples R China.</t>
  </si>
  <si>
    <t>xueyu@dlut.edu.cn; xyang@tsinghua.edu.cn</t>
  </si>
  <si>
    <t>10.1007/s12273-024-1118-5</t>
  </si>
  <si>
    <t>WOS:001194871500001</t>
  </si>
  <si>
    <t>Chang, BT; Zhang, JC; Geng, YY; Li, JR; Miao, DD; Zhang, N</t>
  </si>
  <si>
    <t>Chang, Baotian; Zhang, Jianchao; Geng, Yingying; Li, Jiarui; Miao, Doudou; Zhang, Nan</t>
  </si>
  <si>
    <t>Machine learning enabled film pressure sensor to identify surface contacts: An application in surface transmission of infectious disease</t>
  </si>
  <si>
    <t>surface transmission; touch behavior; film pressure sensor; random forest; infectious disease</t>
  </si>
  <si>
    <t>RANDOM FOREST; TOUCH; MODEL</t>
  </si>
  <si>
    <t>The global prevalence of infectious diseases has emerged as a significant challenge in recent years. Surface transmission is a potential transmission route of most gastrointestinal and respiratory infectious diseases, which is related to surface touch behaviors. Manual observation, the traditional method of surface touching data collection, is characterized by limited accuracy and high labor costs. In this work, we proposed a methodology based on machine learning technologies aimed at obtaining high-accuracy and low-labor-cost surface touch behavioral data by means of sensor-based contact data. The touch sensing device, primarily utilizing a film pressure sensor and Arduino board, is designed to automatically detect and collect surface contact data, encompassing pressure, duration and position. To make certain the surface touch behavior and to describe the behavioral data more accurately, six classification algorithms (e.g. Support Vector Machine and Random Forest) have been trained and tested on an experimentally available dataset containing more than 500 surface contacts. The classification results reported the accuracy of above 85% for all the six classifiers and indicated that Random Forest performed best in identifying surface touch behaviors, with 91.8% accuracy, 91.9% precision and 0.98 AUC. The study conclusively demonstrated the feasibility of identifying surface touch behaviors through film pressure sensor-based data, offering robust support for the calculation of viral load and exposure risk associated with surface transmission.</t>
  </si>
  <si>
    <t>[Chang, Baotian; Zhang, Jianchao; Geng, Yingying; Li, Jiarui; Miao, Doudou; Zhang, Nan] Beijing Univ Technol, Beijing Key Lab Green Built Environm &amp; Energy Effi, Beijing 100124, Peoples R China</t>
  </si>
  <si>
    <t>Zhang, N (corresponding author), Beijing Univ Technol, Beijing Key Lab Green Built Environm &amp; Energy Effi, Beijing 100124, Peoples R China.</t>
  </si>
  <si>
    <t>zhangn@bjut.edu.cn</t>
  </si>
  <si>
    <t>10.1007/s12273-024-1132-7</t>
  </si>
  <si>
    <t>WOS:001201476500001</t>
  </si>
  <si>
    <t>de Wilde, P; de Souza, CB</t>
  </si>
  <si>
    <t>de Wilde, Pieter; Bleil de Souza, Clarice</t>
  </si>
  <si>
    <t>Overcoming fixation: Shaping BPS to fit into design practice</t>
  </si>
  <si>
    <t>[de Wilde, Pieter] Lund Univ, Div Energy &amp; Bldg Design, Lund, Sweden; [Bleil de Souza, Clarice] Cardiff Univ, Welsh Sch Architecture, Cardiff, Wales</t>
  </si>
  <si>
    <t>Lund University; Cardiff University</t>
  </si>
  <si>
    <t>de Wilde, P (corresponding author), Lund Univ, Div Energy &amp; Bldg Design, Lund, Sweden.</t>
  </si>
  <si>
    <t>pieter.de_wilde@ebd.lth.se</t>
  </si>
  <si>
    <t>10.1007/s12273-024-1146-1</t>
  </si>
  <si>
    <t>JUN 2024</t>
  </si>
  <si>
    <t>WOS:001243323000001</t>
  </si>
  <si>
    <t>Zhang, XY; Xiao, F; Li, YX; Ran, Y; Gao, WJ</t>
  </si>
  <si>
    <t>Zhang, Xiaoyi; Xiao, Fu; Li, Yanxue; Ran, Yi; Gao, Weijun</t>
  </si>
  <si>
    <t>Energy flexibility and resilience analysis of demand-side energy efficiency measures within existing residential houses during cold wave event</t>
  </si>
  <si>
    <t>system modeling; energy efficiency; energy resilience; cold wave; thermal comfort</t>
  </si>
  <si>
    <t>BUILDINGS</t>
  </si>
  <si>
    <t>Using the behind-meter data, this study applied a comparison and optimization-based framework to evaluate the energy flexibility and resilience of distributed energy resources within existing houses during cold wave event. Comparative analysis demonstrates the effectiveness of high envelope insulation level in improving energy resilience, identifies impacts of distributed energy resources on variations of household electricity demand. Specifically, a 14.6% reduction in the median value of the normalized load of building group with low U-values, implementations of cogeneration system effectively suppressed variations of electricity load. Dynamic energy performances of on-site generators are evaluated based on high resolution data, energy flexibility of domestic hot water and thermostatically controlled loads were investigated through built demand response model. Results reveal that electrifying hot water demand offers additional power flexibility, the integration of fuel cell cogeneration system has proven to be an efficient energy resource, enabling on-site generation of both electricity and hot water, substantially reducing grid import. The extreme cold event resulted in significant spikes in space heating power consumption. The optimization results demonstrate that reducing the indoor setpoint temperature effectively decreases daily power consumption by approximately 5.0% per degree Celsius. These findings help acquire better understanding of interconnections between energy efficiency and resilience of residential energy-efficient measures.</t>
  </si>
  <si>
    <t>[Zhang, Xiaoyi; Li, Yanxue; Ran, Yi; Gao, Weijun] Qingdao Univ Technol, Innovat Inst Sustainable Maritime Architecture Res, Qingdao, Peoples R China; [Xiao, Fu] Hong Kong Polytech Univ, Dept Bldg Environm &amp; Energy Engn, Hong Kong, Peoples R China; [Zhang, Xiaoyi] Univ Kitakyushu, Fac Environm Engn, Kitakyushu, Japan</t>
  </si>
  <si>
    <t>Li, YX (corresponding author), Qingdao Univ Technol, Innovat Inst Sustainable Maritime Architecture Res, Qingdao, Peoples R China.</t>
  </si>
  <si>
    <t>liyanxue@qut.edu.cn</t>
  </si>
  <si>
    <t>10.1007/s12273-024-1127-4</t>
  </si>
  <si>
    <t>WOS:001232197500001</t>
  </si>
  <si>
    <t>Luo, X; Shi, WC</t>
  </si>
  <si>
    <t>Luo, Xi; Shi, Wence</t>
  </si>
  <si>
    <t>Optimal regulation of flexible loads in rural residential buildings considering mobile batteries: A case study in Shaanxi Province</t>
  </si>
  <si>
    <t>demand-side response; flexible load; mobile battery; household photovoltaics</t>
  </si>
  <si>
    <t>HOME ENERGY MANAGEMENT; AREAS</t>
  </si>
  <si>
    <t>While the grid-connected capacity of rural household photovoltaics is increasing rapidly, achieving dynamic supply-demand matching despite fluctuations in solar energy is challenging. With the rapid development of rural electrification, battery-powered technologies, such as electric vehicles and electric agricultural machinery, are becoming increasingly popular in rural areas. In this context, utilizing idle mobile batteries to assist in energy storage for rural residential buildings offers a new way to solve the problem of dynamic supply-demand matching. In this study, a field survey was conducted on several typical fruit-growing villages in the Central Shaanxi Plain in Shaanxi Province of China. Typical rural households were selected to calculate the electricity loads of the residential buildings, with due consideration to the intervention of mobile batteries. Under the premise of installing 3 kW household photovoltaic systems in rural households, an economical efficiency-oriented model was built for the optimal regulation of flexible loads. The results were compared in the context of two patterns of electricity consumption, i.e., unidirectional charging of mobile batteries from buildings and bidirectional charging and discharging between mobile batteries and buildings. The bidirectional pattern significantly increased the photovoltaic consumption of typical rural households on various typical days. Specifically, during both scenarios of not implementing time-of-use and implementing time-of-use, the typical day of the winter slack farming season exhibited the best photovoltaic consumption effect among all types of typical days. Additionally, the bidirectional pattern also result in a significant increase in the annual electricity sales revenues for typical rural households.</t>
  </si>
  <si>
    <t>[Luo, Xi; Shi, Wence] Xian Univ Architecture &amp; Technol XAUAT, Sch Bldg Serv Sci &amp; Engn, Xian 710055, Peoples R China; [Luo, Xi] State Key Lab Green Bldg, Xian 710055, Peoples R China</t>
  </si>
  <si>
    <t>Luo, X (corresponding author), Xian Univ Architecture &amp; Technol XAUAT, Sch Bldg Serv Sci &amp; Engn, Xian 710055, Peoples R China.;Luo, X (corresponding author), State Key Lab Green Bldg, Xian 710055, Peoples R China.</t>
  </si>
  <si>
    <t>xiluo@xauat.edu.cn</t>
  </si>
  <si>
    <t>10.1007/s12273-024-1121-x</t>
  </si>
  <si>
    <t>WOS:001242193700001</t>
  </si>
  <si>
    <t>Cao, Y; Wang, C; Wang, S; Fu, X; Ming, XG</t>
  </si>
  <si>
    <t>Cao, Yong; Wang, Chuang; Wang, Sheng; Fu, Xiao; Ming, Xinguo</t>
  </si>
  <si>
    <t>Energy modeling and optimization of building condenser water systems with all-variable speed pumps and tower fans: A case study</t>
  </si>
  <si>
    <t>all-variable speed chiller plant; model-based optimization; hydraulic and thermal coupling; analytical solution; dual setpoint-based variable speed control; optimal joint speed control</t>
  </si>
  <si>
    <t>CONTROL STRATEGY; CHILLER PLANTS; COOLING-TOWER; OPERATION; PERFORMANCE</t>
  </si>
  <si>
    <t>The emergence of building condenser water systems with all-variable speed pumps and tower fans allows for increased efficiency and flexibility of chiller plants in partial load operation but also increases the control complexity of condenser water systems. This study aims to develop an integrated modeling technique for evaluating and optimizing the energy performance of such a condenser water system. The proposed system model is based on the semi-physical semi-empirical chiller, pump, and cooling tower models, with capabilities of fully considering the hydraulic and thermal interactions in the condenser water loop, being solved analytically and much faster than iterative solvers and supporting the explicit optimization of the pump and tower fan frequency. A mathematical approach, based on the system model and constrained optimization technique, is subsequently established to evaluate the energy performance of a typical dual setpoint-based variable speed strategy and find its energy-saving potential and most efficient operation by jointly optimizing pumps and tower fans. An all-variable speed chiller plant from Wuhan, China, is used for a case study to validate the system model's accuracy and explore its applicability. The results showed that the system model can accurately simulate the condenser water system's performance under various operating conditions. By optimizing the frequencies of pumps and tower fans, the total system energy consumption can be reduced by 12%-13% compared to the fixed dual setpoint-based strategy with range and approach setpoints of 4 degrees C and 2 degrees C. In contrast, the energy-saving potential of optimizing the cooling tower sequencing is insignificant. A simple joint speed control method for optimizing the pumps and tower fans emerged, i.e., the optimal pump and fan frequency are linearly correlated (if both are non-extremes) and depend on the chiller part load ratio only, irrespective of the ambient wet-bulb temperature and chilled water supply temperature. It was also found that the oversizing issue has further limited the energy-saving space of the studied system and results in the range and approach setpoints being inaccessible. The study's findings can serve as references to the operation optimization of all-variable speed condenser water systems in the future.</t>
  </si>
  <si>
    <t>[Cao, Yong; Ming, Xinguo] Shanghai Jiao Tong Univ, Sch Mech Engn, Shanghai 200240, Peoples R China; [Cao, Yong; Wang, Sheng] State Key Lab Air Conditioning Equipment &amp; Syst En, Zhuhai 519070, Peoples R China; [Cao, Yong; Wang, Sheng] GREE Elect Appliances Inc Zhuhai, Zhuhai 519070, Peoples R China; [Wang, Chuang; Fu, Xiao] Beijing Univ Civil Engn &amp; Architecture, Sch Environm &amp; Energy Engn, Beijing 100044, Peoples R China; [Wang, Chuang] Beijing Univ Civil Engn &amp; Architecture, Beijing Adv Innovat Ctr Future Urban Design, Beijing 100044, Peoples R China</t>
  </si>
  <si>
    <t>Shanghai Jiao Tong University; Gree Electric; Beijing University of Civil Engineering &amp; Architecture; Beijing University of Civil Engineering &amp; Architecture</t>
  </si>
  <si>
    <t>Ming, XG (corresponding author), Shanghai Jiao Tong Univ, Sch Mech Engn, Shanghai 200240, Peoples R China.;Wang, C (corresponding author), Beijing Univ Civil Engn &amp; Architecture, Sch Environm &amp; Energy Engn, Beijing 100044, Peoples R China.;Wang, C (corresponding author), Beijing Univ Civil Engn &amp; Architecture, Beijing Adv Innovat Ctr Future Urban Design, Beijing 100044, Peoples R China.</t>
  </si>
  <si>
    <t>wangchuang@bucea.edu.cn; xgming@sjtu.edu.cn</t>
  </si>
  <si>
    <t>10.1007/s12273-024-1123-8</t>
  </si>
  <si>
    <t>WOS:001251362600004</t>
  </si>
  <si>
    <t>Li, GN; Yao, ZP; Chen, L; Li, T; Xu, CL</t>
  </si>
  <si>
    <t>Li, Guannan; Yao, Zhanpeng; Chen, Liang; Li, Tao; Xu, Chengliang</t>
  </si>
  <si>
    <t>An interpretable graph convolutional neural network based fault diagnosis method for building energy systems</t>
  </si>
  <si>
    <t>fault diagnosis; graph neural network; building energy system; InputXGradient; feature; interpretation</t>
  </si>
  <si>
    <t>PERFORMANCE; SUITABILITY; MODELS</t>
  </si>
  <si>
    <t>Due to the fast-modeling speed and high accuracy, deep learning has attracted great interest in the field of fault diagnosis in building energy systems in recent years. However, the black-box nature makes deep learning models generally difficult to interpret. In order to compensate for the poor interpretability of deep learning models, this study proposed a fault diagnosis method based on interpretable graph neural network (GNN) suitable for building energy systems. The method is developed by following three main steps: (1) selecting NC-GNN as a fault diagnosis model for building energy systems and proposing a graph generation method applicable to the model, (2) developing an interpretation method based on InputXGradient for the NC-GNN, which is capable of outputting the importance of the node features and automatically locating the fault related features, (3) visualizing the results of model interpretation and validating by matching with expert knowledge and maintenance experience. Validation was performed using the public ASHRAE RP-1043 chiller fault data. The diagnosis results show that the proposed method has a diagnosis accuracy of over 96%. The interpretation results show that the method is capable of explaining the decision-making process of the model by identifying fault-discriminative features. For almost all seven faults, their fault-discriminative features were correctly identified.</t>
  </si>
  <si>
    <t>[Li, Guannan; Yao, Zhanpeng; Chen, Liang; Li, Tao; Xu, Chengliang] Wuhan Univ Sci &amp; Technol, Sch Urban Construct, Wuhan 430065, Peoples R China; [Li, Guannan] Anhui Jianzhu Univ, Anhui Prov Key Lab Intelligent Bldg &amp; Bldg Energy, Hefei 230601, Peoples R China; [Li, Guannan] Xian Univ Architecture &amp; Technol, State Key Lab Green Bldg Western China, Xian 710055, Peoples R China; [Li, Guannan] Chongqing Univ, Key Lab Low Grade Energy Utilizat Technol &amp; Syst, Minist Educ, Chongqing 400044, Peoples R China; [Li, Tao] Wuhan Univ Sci &amp; Technol, Hubei Prov Engn Res Ctr Urban Regenerat, Wuhan 430081, Peoples R China</t>
  </si>
  <si>
    <t>Wuhan University of Science &amp; Technology; Anhui Jianzhu University; Xi'an University of Architecture &amp; Technology; Chongqing University; Wuhan University of Science &amp; Technology</t>
  </si>
  <si>
    <t>Li, T (corresponding author), Wuhan Univ Sci &amp; Technol, Sch Urban Construct, Wuhan 430065, Peoples R China.;Li, T (corresponding author), Wuhan Univ Sci &amp; Technol, Hubei Prov Engn Res Ctr Urban Regenerat, Wuhan 430081, Peoples R China.</t>
  </si>
  <si>
    <t>litao1001@wust.edu.cn</t>
  </si>
  <si>
    <t>10.1007/s12273-024-1125-6</t>
  </si>
  <si>
    <t>WOS:001251362600001</t>
  </si>
  <si>
    <t>Xie, ZY; Fan, JH; Cao, B; Zhu, YX</t>
  </si>
  <si>
    <t>Xie, Zuoyu; Fan, Junhui; Cao, Bin; Zhu, Yingxin</t>
  </si>
  <si>
    <t>Airflow Analytical Toolkit (AAT): A MATLAB-based analyzer for holistic studies on the dynamic characteristics of airflows</t>
  </si>
  <si>
    <t>airflow analysis; dynamic characteristic; wind velocity; wind direction; thermal comfort; wind comfort</t>
  </si>
  <si>
    <t>THERMAL SENSATIONS; WIND-SPEED; TEMPERATURE; PERCEPTION; MOVEMENT; IMPACT; FLUCTUATION; ENVIRONMENT; BUILDINGS</t>
  </si>
  <si>
    <t>The dynamic characteristics of different airflows on micro-scales have been explored from many perspectives since the late 1970s. On the one hand, most analytical tools and research subjects in previous contributions vary significantly: some only focus on fluctuant velocity features, while others pay attention to directional features. On the other hand, despite the wide variety of existing analytical methods, they are not systematically classified and organized. This paper aims to establish a system including state-of-the-art tools for airflow analysis and to further design a holistic toolkit named Airflow Analytical Toolkit (AAT). The AAT contains two tools, responsible for analyzing the velocity and direction characteristics of airflows, each of which is integrated with multiple analytical modules. To assess the performance of the developed toolkit, we further take typical natural and mechanical winds as cases to show its excellent analytical capability. With the help of this toolkit, the great differences in velocity and directional characteristics among different airflows are identified. The comparative results reveal that not only is the velocity of natural wind more fluctuating than that of mechanical wind, but its incoming flow direction is also more varying. The AAT, serving as a powerful and user-friendly instrument, will hopefully offer great convenience in data analysis and guidance for a deeper understanding of the dynamic characteristics of airflows, and further remedy the gap in airflow analytical tools.</t>
  </si>
  <si>
    <t>[Xie, Zuoyu; Fan, Junhui; Cao, Bin; Zhu, Yingxin] Tsinghua Univ, Sch Architecture, Dept Bldg Sci, Beijing, Peoples R China; [Xie, Zuoyu; Fan, Junhui; Cao, Bin; Zhu, Yingxin] Tsinghua Univ, Key Lab Eco Planning &amp; Green Bldg, Minist Educ, Beijing, Peoples R China</t>
  </si>
  <si>
    <t>Cao, B (corresponding author), Tsinghua Univ, Sch Architecture, Dept Bldg Sci, Beijing, Peoples R China.;Cao, B (corresponding author), Tsinghua Univ, Key Lab Eco Planning &amp; Green Bldg, Minist Educ, Beijing, Peoples R China.</t>
  </si>
  <si>
    <t>caobin@tsinghua.edu.cn</t>
  </si>
  <si>
    <t>10.1007/s12273-024-1130-9</t>
  </si>
  <si>
    <t>WOS:001214174600001</t>
  </si>
  <si>
    <t>Wang, TQ; Li, AG; Ma, YQ; Zhang, Y; Yin, HG</t>
  </si>
  <si>
    <t>Wang, Tianqi; Li, Angui; Ma, Yuanqing; Zhang, Ying; Yin, Haiguo</t>
  </si>
  <si>
    <t>Enhancing heavy gas capture in confined spaces through ventilation control technology</t>
  </si>
  <si>
    <t>heavy gas; contaminant dispersion; capture efficiency; attachment ventilation; confined space</t>
  </si>
  <si>
    <t>DIRECT SIMULATION; RISK-ASSESSMENT; DISPERSION; INDOOR; FOUNTAINS; ENVIRONMENT</t>
  </si>
  <si>
    <t>Gas leakage accidents occur frequently in confined spaces, and heavy gases with a relative density greater than 1.15 among hazardous gases and greenhouse gases are commonly stored in confined spaces. However, atmospheric pollutant emission standards are becoming more stringent, and it is essential to remove heavy gas after accidents while reducing emissions to the atmosphere. This study proposes using a heavy gas collection tank (HGCT) to safeguard the internal environment and minimize emissions to the atmosphere. The capture efficiencies applicable to heavy-gas environments under different ventilation strategies are derived. This research analyzes the impact of the exhaust rate, leakage rate, density of heavy gas, and air supply modes on the indoor concentration distribution. The results demonstrate that the mass flow rate of heavy gas into the exhaust is positively correlated with the exhaust rate, but the gas from the exhaust system contains more air. The exhaust rate should be greater than four times the space volume per hour; otherwise, heavy gas above 1000 ppm accumulates to a height of 0.67 m at ground level. Finally, attachment ventilation as make-up air helps to reduce upstream heavy gas accumulation and reduces the extension of heavy gas along the room width. Combining an HGCT with floor slope and attachment ventilation achieves an efficiency of 96.28%. This study provides valuable insights and references for preventing hazardous heavy gas leakage.</t>
  </si>
  <si>
    <t>[Wang, Tianqi; Li, Angui; Ma, Yuanqing; Zhang, Ying; Yin, Haiguo] Xian Univ Architecture &amp; Technol, Sch Bldg Serv Sci &amp; Engn, 13 Yanta Rd, Xian 710055, Shaanxi, Peoples R China</t>
  </si>
  <si>
    <t>Li, AG (corresponding author), Xian Univ Architecture &amp; Technol, Sch Bldg Serv Sci &amp; Engn, 13 Yanta Rd, Xian 710055, Shaanxi, Peoples R China.</t>
  </si>
  <si>
    <t>liag@xauat.edu.cn</t>
  </si>
  <si>
    <t>10.1007/s12273-024-1131-8</t>
  </si>
  <si>
    <t>WOS:001255182500001</t>
  </si>
  <si>
    <t>Luo, QQ; Deng, XD; Hang, J; Ou, CY; Luo, ZW; Fan, XD; Yang, X; Zhang, YF; Gu, ZL; Zhang, XL</t>
  </si>
  <si>
    <t>Luo, Qiqi; Deng, Xingdong; Hang, Jian; Ou, Cuiyun; Luo, Zhiwen; Fan, Xiaodan; Yang, Xia; Zhang, Yifei; Gu, Zhongli; Zhang, Xuelin</t>
  </si>
  <si>
    <t>Assessing impact of intermittent window opening strategies on pathogen-laden droplet dispersion in a coach bus</t>
  </si>
  <si>
    <t>infection risk; computational fluid dynamics; air change rate per hour; natural ventilation; wind catcher; tracer gas dispersion</t>
  </si>
  <si>
    <t>SENSOR FAULT-DETECTION; BUILDING SYSTEMS; REFERENCE MODELS; FEATURE-LEVEL; DIAGNOSIS; PROGNOSTICS; METHODOLOGY; KNOWLEDGE</t>
  </si>
  <si>
    <t>Opening windows in coach buses is a practical approach to improving natural ventilation and mitigating infection risk (IR). Due to human behavior and weather conditions, the intermittent window opening strategy (IWOS) is a more common practice than keeping windows constantly open. Despite its prevalence, there are no studies exploring IWOS specifically in vehicles. We employed indoor-outdoor coupled CFD simulations to assess the effects of various IWOS on pathogen-laden droplet (PLD) dispersion and IR in a coach bus that occurred a COVID-19 outbreak in Hunan, China. Results reveal that after ventilating through two skylights for 600-1800 s, opening front and rear windows (FW+RW) or FW with a wind catcher (FW+WCH) for just 40 s can reduce PLD concentration (Cave) to 5% of its initial level and the intake fraction of the infector's neighbor (IFn) drops by 95%. Upon closing FW+RW or FW+WCH, Cave and IFn take over 580 s to return to the pre-opening level. Moreover, intermittent FW opening halves Cave and IFn within 7 min, but leads to rapid increases upon window closure. Therefore, opening FW+RW and FW+WCH intermittently have pronounced impacts on indoor PLD concentration and are applicable approaches to control respiratory disease transmission in vehicles. According to the inhaled viral dose, it is recommended to open windows when driving time is over 12 minutes to reduce infection risk. In scenarios like epidemiological surveys and risk assessments, where assessing passenger infection risk is vital, some behaviors of opening windows cannot be overlooked and necessitate extra attention.</t>
  </si>
  <si>
    <t>[Luo, Qiqi; Hang, Jian; Ou, Cuiyun; Fan, Xiaodan; Zhang, Yifei; Zhang, Xuelin] Sun Yat sen Univ, Sch Atmospher Sci, Southern Marine Sci &amp; Engn Guangdong Lab, Zhuhai 519082, Peoples R China; [Luo, Qiqi; Hang, Jian; Ou, Cuiyun; Fan, Xiaodan; Zhang, Yifei; Zhang, Xuelin] Southern Marine Sci &amp; Engn Guangdong Lab, Zhuhai 519082, Peoples R China; [Luo, Qiqi; Hang, Jian; Zhang, Xuelin] China Meteorol Adm, Key Lab Urban Meteorol, Beijing 100089, Peoples R China; [Luo, Qiqi; Hang, Jian; Zhang, Xuelin] China Meteorol Adm Xiongan Atmospher Boundary Laye, Xiongan, Peoples R China; [Deng, Xingdong] Guangzhou Urban Planning &amp; Design Survey Res Inst, Guangzhou 510060, Peoples R China; [Deng, Xingdong] Guangzhou Collaborat Innovat Ctr Nat Resources Pla, Guangzhou 510060, Peoples R China; [Deng, Xingdong] Guangdong Enterprise Key Lab Urban Sensing Monitor, Guangzhou 510060, Peoples R China; [Luo, Zhiwen] Cardiff Univ, Welsh Sch Architecture, Cardiff, Wales; [Yang, Xia] Minist Ecol &amp; Environm China, South China Inst Environm Sci, Guangdong Prov Engn Lab Air Pollut Control, 7 West St Yuancun, Guangzhou 510655, Peoples R China; [Gu, Zhongli] Guangdong Fans tech Agro Co Ltd, Yunfu, Guangdong, Peoples R China</t>
  </si>
  <si>
    <t>Sun Yat Sen University; China Meteorological Administration; Institute of Urban Meteorology, China Meteorological Administration; Cardiff University; South China Institute of Environmental Sciences, Ministry of Ecology &amp; Environment</t>
  </si>
  <si>
    <t>Zhang, XL (corresponding author), Sun Yat sen Univ, Sch Atmospher Sci, Southern Marine Sci &amp; Engn Guangdong Lab, Zhuhai 519082, Peoples R China.;Zhang, XL (corresponding author), Southern Marine Sci &amp; Engn Guangdong Lab, Zhuhai 519082, Peoples R China.;Zhang, XL (corresponding author), China Meteorol Adm, Key Lab Urban Meteorol, Beijing 100089, Peoples R China.;Zhang, XL (corresponding author), China Meteorol Adm Xiongan Atmospher Boundary Laye, Xiongan, Peoples R China.</t>
  </si>
  <si>
    <t>zhangxlin25@mail.sysu.edu.cn</t>
  </si>
  <si>
    <t>10.1007/s12273-024-1134-5</t>
  </si>
  <si>
    <t>WOS:001229225700001</t>
  </si>
  <si>
    <t>Zhang, RY; Li, ZY; Guan, XY; Wang, X; Wang, F; Zeng, LJ; Li, ZH</t>
  </si>
  <si>
    <t>Zhang, Ruiyan; Li, Ziying; Guan, Xiangyuan; Wang, Xin; Wang, Fei; Zeng, Lingjie; Li, Zhenhai</t>
  </si>
  <si>
    <t>Experimental validation of adsorption filter model under dynamic VOC concentrations: Prediction of long-term efficiency</t>
  </si>
  <si>
    <t>adsorption filter; efficiency model; indoor air; partially reversible adsorption</t>
  </si>
  <si>
    <t>ACTIVATED CARBON; PACKED-BEDS; FORMALDEHYDE; EQUILIBRIUM; COEFFICIENT; DESORPTION; REMOVAL; TOLUENE</t>
  </si>
  <si>
    <t>Indoor volatile organic compound (VOC) concentrations are often dynamic because the ventilation and emission rates of VOC usually change. Adsorption filters used for air purification may operate with a capacity that fluctuates with unsteady VOC concentrations in buildings. Modeling the dynamic interactions between adsorption filters and indoor air is crucial for predicting their performance under real-world conditions. This study presents a numerical model of partially reversible adsorption equilibrium coupled with a mass transfer model to create a predictive model for adsorption efficiency in environments with dynamic VOC concentrations. A honeycomb adsorption filter for benzene adsorption was simulated and tested, including the breakthrough and purging curve and the long-term efficiency in an experimental chamber with dynamic concentrations. The results reveal that the curve generated with the partially reversible adsorption equilibrium model closely aligns with the measured one. Furthermore, the model was coupled with a chamber model and the simulation results were compared with those calculated using the filter model with a single adsorption isotherm. When VOCs were emitted intermittently in the chamber and there was sufficient ventilation, the concentration peaks in the chamber derived from the models with different assumptions on adsorption reversibility were significantly different from each other. Moreover, it was observed that the reversible adsorption capacity of the filter was crucial for long-term operation in rooms with dynamic concentration. Despite the reversible adsorption capacity constituting only 6.7% of the total adsorption capacity of the tested filter, it contributes to a significant peak shaving and valley filling effect, even when the irreversible adsorption capacity is saturated. The adsorption reversibility should be taken as an important parameter for selecting adsorbents for dynamic concentration conditions.</t>
  </si>
  <si>
    <t>[Zhang, Ruiyan; Li, Ziying; Guan, Xiangyuan; Wang, Xin; Wang, Fei] Univ Shanghai Sci &amp; Technol, Sch Environm &amp; Architecture, Shanghai 200093, Peoples R China; [Zeng, Lingjie; Li, Zhenhai] Tongji Univ, Sch Mech Engn, Shanghai 200092, Peoples R China</t>
  </si>
  <si>
    <t>University of Shanghai for Science &amp; Technology; Tongji University</t>
  </si>
  <si>
    <t>Zeng, LJ (corresponding author), Tongji Univ, Sch Mech Engn, Shanghai 200092, Peoples R China.</t>
  </si>
  <si>
    <t>zenglingjie@tongji.edu.cn</t>
  </si>
  <si>
    <t>10.1007/s12273-024-1135-4</t>
  </si>
  <si>
    <t>WOS:001251362600002</t>
  </si>
  <si>
    <t>Deng, Q; Chen, ZW; Zhu, WT; Li, ZF; Yuan, YF; Gui, WH</t>
  </si>
  <si>
    <t>Deng, Qiao; Chen, Zhiwen; Zhu, Wanting; Li, Zefan; Yuan, Yifeng; Gui, Weihua</t>
  </si>
  <si>
    <t>A performance prediction method for on-site chillers based on dynamic graph convolutional network enhanced by association rules</t>
  </si>
  <si>
    <t>chillers; performance prediction; dynamic graph convolutional network; association rules; operating modes</t>
  </si>
  <si>
    <t>ENERGY PERFORMANCE; SUITABILITY; SYSTEMS; MODELS</t>
  </si>
  <si>
    <t>Accurately predicting the chiller coefficient of performance (COP) is essential for improving the energy efficiency of heating, ventilation, and air conditioning (HVAC) systems, significantly contributing to energy conservation in buildings. Traditional performance prediction methods often overlook the dynamic interaction among sensor variables and face challenges in using extensive historical data efficiently, which impedes accurate predictions. To overcome these challenges, this paper proposes an innovative on-site chiller performance prediction method employing a dynamic graph convolutional network (GCN) enhanced by association rules. The distinctive feature of this method is constructing an association graph bank containing static graphs in each operating mode by mining the association rules between various sensor variables in historical operating data. A real-time graph is created by analyzing the correlation between various sensor variables in the current operating data. This graph is fused online with the static graph in the current operating mode to obtain a dynamic graph used for feature extraction and training of GCN. The effectiveness of this method has been empirically confirmed through the operational data of an actual building chiller system. Comparative analysis with state-of-the-art methods highlights the superior performance of the proposed method.</t>
  </si>
  <si>
    <t>[Deng, Qiao; Chen, Zhiwen; Zhu, Wanting; Li, Zefan; Gui, Weihua] Cent South Univ, Sch Automat, Changsha 410083, Peoples R China; [Chen, Zhiwen] Xiangjiang Lab Hunan Prov, Changsha 410205, Peoples R China; [Yuan, Yifeng] Shenzhen DAS Intellitech Co Ltd, Shenzhen 518057, Peoples R China</t>
  </si>
  <si>
    <t>Chen, ZW (corresponding author), Cent South Univ, Sch Automat, Changsha 410083, Peoples R China.;Chen, ZW (corresponding author), Xiangjiang Lab Hunan Prov, Changsha 410205, Peoples R China.</t>
  </si>
  <si>
    <t>zhiwen.chen@csu.edu.cn</t>
  </si>
  <si>
    <t>10.1007/s12273-024-1136-3</t>
  </si>
  <si>
    <t>WOS:001235773100001</t>
  </si>
  <si>
    <t>Duan, ZJ; Wu, SD; Sun, HL; Lin, BR; Ding, P; Cui, T; To, J; Zhang, X</t>
  </si>
  <si>
    <t>Duan, Zhoujie; Wu, Shuangdui; Sun, Hongli; Lin, Borong; Ding, Pei; Cui, Tao; To, Jeremy; Zhang, Xi</t>
  </si>
  <si>
    <t>Improvements in energy saving and thermal comfort for electric vehicles in summer through coupled electrochromic and radiative cooling smart windows</t>
  </si>
  <si>
    <t>electrochromism; radiative cooling; smart window; electric vehicle; cabin thermal comfort; energy saving</t>
  </si>
  <si>
    <t>PERFORMANCE; CABIN</t>
  </si>
  <si>
    <t>In hot climates, the large amount of cooling load in electric vehicle (EV) results in a lot of battery energy consumption, leading the decrease of driving range. With the widespread application of windows in EV, the electrochromic glass (EC) shows great prospect in lowering the cooling load. However, researches on the application of EC in EV lack the consideration of both passive cooling measures and passenger comfort, which limits the further application of EC. In this paper, we proposed an idea combining the novel techniques of both electrochromism and radiative cooling. Computational fluid dynamics (CFD) is modeled to simulate the application of electrochromic and radiative cooling coupled smart windows in hot parking conditions, exploring the improvement effect of the window on the thermal environment, comfort and energy saving of the EV. The results indicate that, under the intense sunlight with an outdoor temperature of 33 degrees C, activating the air conditioning to maintain an average interior temperature of 26 degrees C, the coupled windows reduced the cooling capacity of the air conditioning by 762 W compared to regular windows, which can further increase the range of EV. Meanwhile, compared to simple electrochromic fully colored glass, the integration of radiative cooling technology can lower the window surface temperature by up to 10.7 degrees C. Moreover, compared to regular windows, the coupled windows lowered the standard effective temperature (SET*) for passengers by approximately 7 degrees C, significantly improving comfort. These research findings are expected to provide guidance for optimizing window design and enhancing the performance of EV.</t>
  </si>
  <si>
    <t>[Duan, Zhoujie; Sun, Hongli] Sichuan Univ, Coll Architecture &amp; Environm, Chengdu 610065, Peoples R China; [Wu, Shuangdui; Lin, Borong] Tsinghua Univ, Dept Bldg Sci, Beijing 100084, Peoples R China; [Wu, Shuangdui; Lin, Borong] Tsinghua Univ, Key Lab Eco Planning &amp; Green Bldg, Minist Educ, Beijing 100084, Peoples R China; [Sun, Hongli] Sichuan Univ, State Key Lab Hydraul &amp; Mt River Engn, Chengdu 610065, Peoples R China; [Ding, Pei] Xihua Univ, Sch Emergency Management, Chengdu 610039, Peoples R China; [Cui, Tao; To, Jeremy; Zhang, Xi] Mercedes Benz Grp China Ltd, Res &amp; Design Ctr, Shanghai, Peoples R China</t>
  </si>
  <si>
    <t>Sichuan University; Tsinghua University; Tsinghua University; Sichuan University; Xihua University</t>
  </si>
  <si>
    <t>Sun, HL (corresponding author), Sichuan Univ, Coll Architecture &amp; Environm, Chengdu 610065, Peoples R China.;Wu, SD (corresponding author), Tsinghua Univ, Dept Bldg Sci, Beijing 100084, Peoples R China.;Wu, SD (corresponding author), Tsinghua Univ, Key Lab Eco Planning &amp; Green Bldg, Minist Educ, Beijing 100084, Peoples R China.;Sun, HL (corresponding author), Sichuan Univ, State Key Lab Hydraul &amp; Mt River Engn, Chengdu 610065, Peoples R China.</t>
  </si>
  <si>
    <t>wusd21@mails.tsinghua.edu.cn; shl@scu.edu.cn</t>
  </si>
  <si>
    <t>10.1007/s12273-024-1137-2</t>
  </si>
  <si>
    <t>WOS:001233684300001</t>
  </si>
  <si>
    <t>He, MY; Liu, H; Shao, LG; Li, BZ; Wu, YX</t>
  </si>
  <si>
    <t>He, Mengyuan; Liu, Hong; Shao, Lianggen; Li, Baizhan; Wu, Yuxin</t>
  </si>
  <si>
    <t>Does back cooling improve human thermal comfort in warm environments? A device for heat conduction by the semiconductor Peltier effect</t>
  </si>
  <si>
    <t>back cooling; heat conduction; summer commuting; thermal comfort prediction</t>
  </si>
  <si>
    <t>BUILDING ENERGY-CONSUMPTION; BODY; SENSATION; GARMENT</t>
  </si>
  <si>
    <t>The hot environment and the metabolic heat of commuting in summer caused individual overheating and intense thermal discomfort. Local cooling presents huge potential for optimizing thermal comfort. This study investigates the performance of a back cooling device, based on the semiconductor Peltier effect, in improving thermal comfort after summer commuting. We studied one case without cooling, and three cases with surface temperatures of the cooling device of 29, 27, and 25 degrees C using a simulated summer commute at a moderate activity level. The results showed that thermal sensation, perceived sweating rate, and skin temperature decreased markedly in the cooling cases compared to the non-cooling case, with the changes being most notable in the lower back, in contact with the cooling device. The decrease in overall thermal sensation and mean skin temperature was approximately 0.52 score and 0.31 degrees C on average, respectively, with a 1.71 score increase in overall thermal comfort. We contend that the surface temperature of local contact cooling devices should not be lower than 22 degrees C to minimize local overcooling. Back cooling devices present a huge potential for building energy-savings at ambient air temperature exceeding 30 degrees C. Moreover, the functional paradigms for individual comfort predict improved comfort performance in future applications. This study contributes to the understanding on the well-being and physiological recovery of individuals after a summer commuting.</t>
  </si>
  <si>
    <t>[He, Mengyuan; Liu, Hong; Shao, Lianggen; Li, Baizhan] Chongqing Univ, Joint Int Res Lab Green Bldg &amp; Built Environm, Minist Educ, Chongqing, Peoples R China; [He, Mengyuan; Liu, Hong; Shao, Lianggen; Li, Baizhan] Chongqing Univ, Natl Ctr Int Res Low carbon &amp; Green Bldg, Minist Sci &amp; Technol, Chongqing, Peoples R China; [Wu, Yuxin] Zhejiang Sci Tech Univ, Sch Civil Engn &amp; Architecture, Hangzhou, Peoples R China</t>
  </si>
  <si>
    <t>Chongqing University; Chongqing University; Zhejiang Sci-Tech University</t>
  </si>
  <si>
    <t>Liu, H (corresponding author), Chongqing Univ, Joint Int Res Lab Green Bldg &amp; Built Environm, Minist Educ, Chongqing, Peoples R China.;Liu, H (corresponding author), Chongqing Univ, Natl Ctr Int Res Low carbon &amp; Green Bldg, Minist Sci &amp; Technol, Chongqing, Peoples R China.</t>
  </si>
  <si>
    <t>liuhong@cqu.edu.cn</t>
  </si>
  <si>
    <t>10.1007/s12273-024-1139-0</t>
  </si>
  <si>
    <t>JUL 2024</t>
  </si>
  <si>
    <t>WOS:001262203100001</t>
  </si>
  <si>
    <t>Wan, H; Gong, YY; Wang, SW; Sun, YJ; Xu, T; Huang, GS</t>
  </si>
  <si>
    <t>Wan, Hang; Gong, Yuyang; Wang, Shengwei; Sun, Yongjun; Xu, Tao; Huang, Gongsheng</t>
  </si>
  <si>
    <t>Generic load regulation strategy for enhancing energy efficiency of chiller plants</t>
  </si>
  <si>
    <t>load regulation; thermal energy storage; chiller plants; building energy efficiency</t>
  </si>
  <si>
    <t>DISTRICT COOLING SYSTEM; SEQUENCING CONTROL; ICE STORAGE</t>
  </si>
  <si>
    <t>In many chiller plants, high coefficient of performance (COP) is only achieved at a few favorable part load ratios (PLRs), while the COP is low at many other non-favorable PLRs. To address this issue, this study proposes a generic load regulation strategy that aims to maintain chiller plants operating at high COP, particularly under non-favorable PLRs. This is achieved by incorporating thermal energy storage (TES) units and timely optimizing the charging and discharging power of the integrated TES units. The optimal charging and discharging power is determined by solving a dynamic optimization problem, taking into account the performance constraints of the TES units and the chiller plants. To provide an overview of the energy-saving potential of the proposed strategy, a comprehensive analysis was conducted, considering factors such as building load profiles, COP/PLR curves of chillers, and attributes of the TES units. The analysis revealed that the proposed load regulation strategy has the potential to achieve energy savings ranging from 5.7% to 10.8% for chiller plants with poor COPs under unfavorable PLRs, particularly in buildings with significant load variations.</t>
  </si>
  <si>
    <t>[Wan, Hang; Gong, Yuyang; Sun, Yongjun; Huang, Gongsheng] City Univ Hong Kong, Dept Architecture &amp; Civil Engn, Hong Kong, Peoples R China; [Wang, Shengwei] Hong Kong Polytech Univ, Dept Bldg Environm &amp; Energy Engn, Hong Kong, Peoples R China; [Xu, Tao] Guangzhou Univ, Sch Civil Engn, Guangzhou, Peoples R China; [Huang, Gongsheng] City Univ Hong Kong, Shenzhen Res Inst, Shenzhen, Peoples R China</t>
  </si>
  <si>
    <t>City University of Hong Kong; Hong Kong Polytechnic University; Guangzhou University; Shenzhen Research Institute, City University of Hong Kong; City University of Hong Kong</t>
  </si>
  <si>
    <t>Huang, GS (corresponding author), City Univ Hong Kong, Dept Architecture &amp; Civil Engn, Hong Kong, Peoples R China.;Huang, GS (corresponding author), City Univ Hong Kong, Shenzhen Res Inst, Shenzhen, Peoples R China.</t>
  </si>
  <si>
    <t>gongsheng.huang@cityu.edu.hk</t>
  </si>
  <si>
    <t>10.1007/s12273-024-1138-1</t>
  </si>
  <si>
    <t>WOS:001236850500001</t>
  </si>
  <si>
    <t>Sun, Y; Zhao, TY; Lyu, S</t>
  </si>
  <si>
    <t>Sun, Yue; Zhao, Tianyi; Lyu, Shan</t>
  </si>
  <si>
    <t>Model-based investigation on building thermal mass utilization and flexibility enhancement of air conditioning loads</t>
  </si>
  <si>
    <t>RC model; passive pre-cooling; internal thermal mass; building energy flexibility</t>
  </si>
  <si>
    <t>DEMAND RESPONSE; PREDICTIVE CONTROL; ENERGY STORAGE; HVAC SYSTEMS; IMPLEMENTATION; OPTIMIZATION; NETWORKS</t>
  </si>
  <si>
    <t>Building air conditioning systems (ACs) can contribute to the stable operation of power grids by participating in peak load shaving programs, but the participants need a fast and accurate zone temperature prediction model, e.g., the detailed room thermal-resistance (RC) model, to improve peak shaving effect and avoid obvious thermal discomfort. However, when applying the detailed room RC model to multi-zone buildings, conventional studies mostly consider the heat transfer among neighboring rooms, which contributes little to the prediction accuracy improvement, but leads to complicated model structure and heavy computation. Thus, a distributed RC model is developed for multi-zone buildings in this study. Compared to conventional models, the proposed model considers the total heat transfer between the building and the air, and ignores the heat transfer among indoor air in neighboring rooms through internal walls with heavy thermal mass, thereby having comparable temperature prediction accuracy, simpler structure, and stronger robustness. Based on the model, the effectiveness of passive pre-cooling strategies in reducing the air conditioning loads during peak periods is investigated. Results indicate that the thermal insulation performance of opaque building envelope is quite important to the flexibility enhancement of air conditioning loads. With an uninsulated building envelope, passive pre-cooling is useless for the peak load shaving. In comparison, well insulated opaque building envelope enables the building thermal mass to be utilized through passive pre-cooling, which leads to the air conditioning loads during peak periods being further reduced by about 12%.</t>
  </si>
  <si>
    <t>[Sun, Yue; Zhao, Tianyi] Dalian Univ Technol, Inst Bldg Energy, Sch Infrastruct Engn, Dalian 116024, Peoples R China; [Lyu, Shan] Chongqing Univ, Sch Civil Engn, Chongqing 400045, Peoples R China</t>
  </si>
  <si>
    <t>Dalian University of Technology; Chongqing University</t>
  </si>
  <si>
    <t>Zhao, TY (corresponding author), Dalian Univ Technol, Inst Bldg Energy, Sch Infrastruct Engn, Dalian 116024, Peoples R China.</t>
  </si>
  <si>
    <t>zhaotianyi@dlut.edu.cn</t>
  </si>
  <si>
    <t>10.1007/s12273-024-1143-4</t>
  </si>
  <si>
    <t>WOS:001255182500002</t>
  </si>
  <si>
    <t>Zhou, PZ; Wang, HD; Dai, YW; Huang, C</t>
  </si>
  <si>
    <t>Zhou, Pengzhi; Wang, Haidong; Dai, Yuwei; Huang, Chen</t>
  </si>
  <si>
    <t>Fast flow simulation study of pulsating ventilation performance on air contaminant removal</t>
  </si>
  <si>
    <t>pulsating ventilation; fast fluid dynamics; fractional step method; contaminant removal efficiency; time-periodic supply; vortex structure</t>
  </si>
  <si>
    <t>FAST FLUID-DYNAMICS; TRANSIENT PARTICLE-TRANSPORT; MODEL; QUALITY; CFD; IMPROVEMENTS; PREDICTION</t>
  </si>
  <si>
    <t>Fast flow simulation is imperative in the design of pulsating ventilation, which is potentially efficient in indoor air contaminant removal. The execution of the conventional CFD method requires considerable amount of computational resources. In this study, five different numerical schemes were proposed based on fast fluid dynamics (FFD) and fractional step (FS) methods, and were evaluated to achieve quick simulation of airflow/contaminant dispersion. One of these numerical schemes was identified with the best overall computing efficiency for investigating the performance of pulsating ventilation. With this numerical scheme at hand, the air contaminant removal effectiveness of different ventilation types was evaluated. Two kinds of pulsating ventilation and one kind of steady ventilation were tested upon a benchmark isothermal mixing chamber. The effect of adjusting supply velocity parameters on the ventilation performance was also investigated. CO2 concentration, airflow pattern, and vortex structure of different ventilation types were illustrated and analyzed. The results reveal that the FS method is more suitable for transient simulation of wall-bounded indoor airflow than the FFD method, and 34%-51% of computing time could be saved compared to the conventional CFD method. Regarding the choice of ventilation type, steady ventilation might result in short-circuit airflow and stagnant zones; alternatively, pulsating ventilation has greater potential in air contaminant removal due to its ever-changing vortex structure.</t>
  </si>
  <si>
    <t>[Zhou, Pengzhi; Wang, Haidong; Dai, Yuwei; Huang, Chen] Univ Shanghai Sci &amp; Technol, Sch Environm &amp; Architecture, 516 Jungong Rd, Shanghai 200093, Peoples R China</t>
  </si>
  <si>
    <t>University of Shanghai for Science &amp; Technology</t>
  </si>
  <si>
    <t>Wang, HD (corresponding author), Univ Shanghai Sci &amp; Technol, Sch Environm &amp; Architecture, 516 Jungong Rd, Shanghai 200093, Peoples R China.</t>
  </si>
  <si>
    <t>whd@usst.edu.cn</t>
  </si>
  <si>
    <t>10.1007/s12273-024-1145-2</t>
  </si>
  <si>
    <t>WOS:001273955800001</t>
  </si>
  <si>
    <t>Du, W; Cui, ZP; Wang, JZ; Wang, YQ; Li, YG; Li, XA; Zhou, Y; Jiang, T; Mao, K; Lin, XB; Shi, JW; Gao, DZ; Qin, YM</t>
  </si>
  <si>
    <t>Du, Wei; Cui, Zhanpeng; Wang, Jinze; Wang, Yuqiong; Li, Yungui; Li, Xiaoan; Zhou, Yan; Jiang, Tao; Mao, Kang; Lin, Xianbiao; Shi, Jianwu; Gao, Dengzhou; Qin, Yiming</t>
  </si>
  <si>
    <t>Quantifying the contribution of activity patterns to PM2.5 exposure inequity between urban and rural residents by a novel method</t>
  </si>
  <si>
    <t>PM2.5 exposure; environmental inequity; activity pattern; urban and rural difference</t>
  </si>
  <si>
    <t>MODEL-PREDICTIVE CONTROL; THERMAL-ENERGY STORAGE; DEMAND RESPONSE; HVAC SYSTEMS; BUILDINGS; IMPLEMENTATION; OPTIMIZATION; FLEXIBILITY; NETWORKS</t>
  </si>
  <si>
    <t>PM2.5 pollution variations in different microenvironments would result in PM2.5 exposure inequity between rural and urban residents. In this study, the real-time PM2.5 exposure of urban and rural residents in China was examined based on portable PM2.5 sensors together with activity patterns derived from questionnaire surveys, with a focus on students and senior citizens who are sensitive to air pollution. The results showed that PM2.5 exposure varied significantly among different resident groups, with higher PM2.5 exposure of rural residents than those of urban residents. PM2.5 exposure peaks mostly occurred during (Accompanied) cooking activities owing to strong emissions. Sleeping and resting were the main activities that affected PM2.5 exposures of different resident groups, accounting for 60.7%-94.5% of total daily exposures. Furthermore, the long duration of sleeping makes it the predominant activity contributing to PM2.5 exposure inequity. It is necessary to obtain point-to-point respiratory volume (respiratory rate) data when measuring real-time PM2.5 exposure data and incorporate respiratory volume (respiratory rate) into the analysis of PM2.5 exposure. For the first time, this study quantified the PM2.5 exposure inequality based on a novel method and can provide useful information for further studies on the exposure inequity.</t>
  </si>
  <si>
    <t>[Du, Wei; Cui, Zhanpeng; Shi, Jianwu] Kunming Univ Sci &amp; Technol, Fac Environm Sci &amp; Engn, Yunnan Prov Key Lab Soil Carbon Sequestrat &amp; Pollu, Kunming 650500, Peoples R China; [Wang, Jinze] Peking Univ, Coll Urban &amp; Environm Sci, Lab Earth Surface Proc, Beijing 100871, Peoples R China; [Wang, Yuqiong; Li, Yungui] Southwest Univ Sci &amp; Technol, Dept Environm Engn, Mianyang 621010, Peoples R China; [Li, Xiaoan; Zhou, Yan; Jiang, Tao] Univ Elect Sci &amp; Technol China, Mianyang Cent Hosp, Sch Med, NHC Key Lab Nucl Technol Med Transformat, Mianyang 621000, Peoples R China; [Mao, Kang] Chinese Acad Sci, Inst Geochem, State Key Lab Environm Geochem, Guiyang 550081, Peoples R China; [Lin, Xianbiao] Ocean Univ China, Key Lab Marine Chem Theory &amp; Technol, Minist Educ, Qingdao 266100, Peoples R China; [Gao, Dengzhou] Fujian Normal Univ, Sch Geog Sci, Key Lab Humid Subtrop Ecogeog Proc, Minist Educ, Fuzhou 350117, Peoples R China; [Qin, Yiming] City Univ Hong Kong, Sch Energy &amp; Environm, Hong Kong, Peoples R China</t>
  </si>
  <si>
    <t>Kunming University of Science &amp; Technology; Peking University; Southwest University of Science &amp; Technology - China; University of Electronic Science &amp; Technology of China; Chinese Academy of Sciences; Institute of Geochemistry, CAS; Ocean University of China; Fujian Normal University; City University of Hong Kong</t>
  </si>
  <si>
    <t>Li, YG (corresponding author), Southwest Univ Sci &amp; Technol, Dept Environm Engn, Mianyang 621010, Peoples R China.;Jiang, T (corresponding author), Univ Elect Sci &amp; Technol China, Mianyang Cent Hosp, Sch Med, NHC Key Lab Nucl Technol Med Transformat, Mianyang 621000, Peoples R China.</t>
  </si>
  <si>
    <t>liyungui@swust.edu.cn; 13808118308@139.com</t>
  </si>
  <si>
    <t>10.1007/s12273-024-1166-x</t>
  </si>
  <si>
    <t>AUG 2024</t>
  </si>
  <si>
    <t>WOS:001299746700001</t>
  </si>
  <si>
    <t>Luo, X; Du, LN</t>
  </si>
  <si>
    <t>Luo, Xi; Du, Lina</t>
  </si>
  <si>
    <t>Energy consumption simulations of rural residential buildings considering differences in energy use behavior among family members</t>
  </si>
  <si>
    <t>typical energy use behavior pattern; differences in occupant behavior; building energy consumption simulation; stochastic energy use behavior simulation</t>
  </si>
  <si>
    <t>OCCUPANT BEHAVIOR; STOCHASTIC-MODEL; DWELLINGS</t>
  </si>
  <si>
    <t>The average occupant methodology is widely used in energy consumption simulations of residential buildings; however, it fails to consider the differences in energy use behavior among family members. Based on a field survey on the Central Shaanxi Plain, to identify the energy use behavior patterns of typical families, a stochastic energy use behavior model considering differences in energy use behavior among family members was proposed, to improve the accuracy of energy consumption simulations of residential buildings. The results indicated that the surveyed rural families could be classified into the following four types depending on specific energy use behavior patterns: families of one elderly couple, families of one middle-aged couple, families of one elderly couple and one child, and families of one couple and one child. Moreover, on typical summer days, the results of daily building energy consumption simulation obtained by the average occupant methodology were 25.39% and 28% lower than the simulation results obtained by the model proposed in this study for families of one elderly couple and families of one middle-aged couple, and 13.05% and 23.05% higher for families of one elderly couple and one child, and families of one couple and one child. On typical winter days, for the four types of families, the results of daily building energy consumption simulation obtained by the average occupant methodology were 21.69%, 10.84%, 1.21%, and 8.39% lower than the simulation results obtained by the model proposed in this study, respectively.</t>
  </si>
  <si>
    <t>[Luo, Xi; Du, Lina] Xian Univ Architecture &amp; Technol XAUAT, Sch Bldg Serv Sci &amp; Engn, Xian 710055, Peoples R China; [Luo, Xi] State Key Lab Green Bldg, Xian 710055, Peoples R China</t>
  </si>
  <si>
    <t>10.1007/s12273-024-1128-3</t>
  </si>
  <si>
    <t>WOS:001275434000001</t>
  </si>
  <si>
    <t>Li, GY; Liu, D; Hu, AJ; Yan, QD; Ma, LN; Tang, L; Wu, XZ; Wang, J; Wang, ZY</t>
  </si>
  <si>
    <t>Li, Guanyu; Liu, Dong; Hu, Anjie; Yan, Qidong; Ma, Lina; Tang, Liu; Wu, Xiaozhou; Wang, Jun; Wang, Zhenyu</t>
  </si>
  <si>
    <t>Effect of solar radiation on human thermal sensation and physiological parameters in a convection-radiation air conditioning environment</t>
  </si>
  <si>
    <t>system modeling; solar radiation; mean skin temperature; thermal comfort; terminal form; irradiation area</t>
  </si>
  <si>
    <t>INDOOR OPERATIVE TEMPERATURE; MEAN RADIANT TEMPERATURE; HUMAN HEALTH; COMFORT; SLEEP; MODEL; BODY</t>
  </si>
  <si>
    <t>This study focused on the effect of glass structures of modern architecture on the indoor thermal environment during summer. In particular, this study examined how solar radiation significantly altered people's thermal sensations. Laboratory tests on convection-radiation air conditioning systems were conducted, encompassing 12 different scenarios, including diverse indoor open areas, terminal forms, and levels of solar radiation. These tests aimed to explore the physiological and psychological responses of the human body to solar radiation penetrating through windows into the inner room. During the experiments, the participants' subjective thermal sensations and thermal comfort were recorded, along with continuous monitoring of their physiological and environmental parameters. Results showed that solar radiation significantly increased local skin temperature, with a maximum rise of 2.15 degrees C. Operative temperature is a reliable indicator of human skin temperature and thermal sensation vote (TSV). This study established two models that could predict the skin temperature of individuals indoors through operative temperature under conditions without or with solar radiation, and identified sensitive ranges of operative temperature for both models, to be specific, 26.32 degrees C to 28.43 degrees C and 28.51 degrees C to 34.11 degrees C, respectively. Furthermore, this study established the relationship between skin temperature and TSV under conditions with and without solar radiation. The results indicate that solar radiation enhances the human body's adaptability to indoor environmental parameters; a convection-radiation system (FC+RF) could be used to optimize indoor thermal control under solar radiation, achieving more stable environmental temperatures and improved indoor comfort.</t>
  </si>
  <si>
    <t>[Li, Guanyu; Liu, Dong; Hu, Anjie; Yan, Qidong; Ma, Lina] Southwest Univ Sci &amp; Technol, Sch Civil Engn &amp; Architecture, Mianyang 621010, Peoples R China; [Tang, Liu] Sichuan Prov Engn Technol Res Ctr Hlth Human Settl, Chengdu 610065, Peoples R China; [Tang, Liu] Sichuan Univ Engn Design &amp; Res Inst Co Ltd, Chengdu 610065, Peoples R China; [Wu, Xiaozhou] Dalian Univ Technol, Sch Civil Engn, Dalian 116081, Peoples R China; [Wang, Jun] Sichuan Univ, Coll Architecture &amp; Environm, Chengdu 610065, Peoples R China; [Wang, Zhenyu] Southwest Univ Sci &amp; Technol, Sch Environm &amp; Resources, Mianyang 621010, Peoples R China</t>
  </si>
  <si>
    <t>Southwest University of Science &amp; Technology - China; Dalian University of Technology; Sichuan University; Southwest University of Science &amp; Technology - China</t>
  </si>
  <si>
    <t>Liu, D (corresponding author), Southwest Univ Sci &amp; Technol, Sch Civil Engn &amp; Architecture, Mianyang 621010, Peoples R China.</t>
  </si>
  <si>
    <t>liudong@swust.edu.cn</t>
  </si>
  <si>
    <t>10.1007/s12273-024-1133-6</t>
  </si>
  <si>
    <t>WOS:001276962700003</t>
  </si>
  <si>
    <t>Ullah, KR; Prodanovic, V; Pignatta, G; Deletic, A; Santamouris, M</t>
  </si>
  <si>
    <t>Ullah, Khan Rahmat; Prodanovic, Veljko; Pignatta, Gloria; Deletic, Ana; Santamouris, Mattheos</t>
  </si>
  <si>
    <t>Assessing the impact of heat mitigation measures on thermal performance and energy demand at the community level: A pathway toward designing net-zero energy communities</t>
  </si>
  <si>
    <t>urban overheating; cool materials; vegetation; heat mitigation; energy savings; CO2 reduction</t>
  </si>
  <si>
    <t>URBAN HEAT; CLIMATE-CHANGE; ISLAND; STRATEGIES; MAGNITUDE; ALBEDO; CITIES; SCALE</t>
  </si>
  <si>
    <t>In the context of escalating global energy demands, urban areas, specifically the building sector, contribute to the largest energy consumption, with urban overheating exacerbating this issue. Utilizing urban modelling for heat-mitigation and reduction of energy demand is crucial steps towards a sustainable built-environment, complementing onsite energy generation in the design and development of Net-zero Energy (NZE) Settlement, especially in the context of Australian weather conditions. Addressing a significant gap in existing literature, this study offers empirical analysis on the climate and energy efficacy of integrated heat mitigation strategies applied in 14 neighbourhood typologies located in Sydney, Australia. Examining the application of cool materials on roads, pavements, and rooftops, alongside urban vegetation enhancement, the analysis demonstrates scenario effectiveness on heat mitigation that leads to reduce ambient temperature and energy demands along with CO2 emissions within the neighbourhoods. Considering building arrangement, built-area ratio, building height, and locations, ENVI-met and CitySim are utilized to assess the heat-mitigation and the energy demand of neighbourhoods, respectively. Results indicate that mitigation measures can lead up to a 2.71 degrees C reduction in ambient temperature and over 25% reduction in Cooling Degree Hours, with a 34.34% reduction in cooling energy demand and overall energy savings of up to 12.49%. In addition, the annual energy-saving yields a CO2 reduction of approximately 141.12 tonnes, where additional vegetation further amplifies these reductions by enhancing CO2 absorption. This study showcases the pathway towards achieving NZE goals in climates similar to that of Australia, highlighting significant benefits in heat-mitigation, environmental impact, and energy-savings.</t>
  </si>
  <si>
    <t>[Ullah, Khan Rahmat; Pignatta, Gloria; Santamouris, Mattheos] Univ New South Wales, Fac Arts, Sch Built Environm Design &amp; Architecture, Sydney, NSW 2052, Australia; [Prodanovic, Veljko; Deletic, Ana] Univ New South Wales, Sch Civil &amp; Environm Engn, Sydney, NSW 2052, Australia; [Prodanovic, Veljko] Inst Artificial Intelligence Res &amp; Dev Serbia, Novi Sad 21000, Serbia; [Prodanovic, Veljko] Univ Belgrade, Inst Multidisciplinary Res, Kneza Viseslava 1, Belgrade 11000, Serbia; [Deletic, Ana] Queensland Univ Technol, Engn Fac, Sch Civil &amp; Environm Engn, Brisbane, Qld 4001, Australia</t>
  </si>
  <si>
    <t>University of New South Wales Sydney; University of New South Wales Sydney; University of Belgrade; Queensland University of Technology (QUT)</t>
  </si>
  <si>
    <t>Ullah, KR (corresponding author), Univ New South Wales, Fac Arts, Sch Built Environm Design &amp; Architecture, Sydney, NSW 2052, Australia.</t>
  </si>
  <si>
    <t>k.ullah@unsw.edu.au</t>
  </si>
  <si>
    <t>10.1007/s12273-024-1140-7</t>
  </si>
  <si>
    <t>WOS:001220206500001</t>
  </si>
  <si>
    <t>Lyu, J; Yang, YX; Shi, YX; Lian, ZW</t>
  </si>
  <si>
    <t>Lyu, Junmeng; Yang, Yuxin; Shi, Yongxiang; Lian, Zhiwei</t>
  </si>
  <si>
    <t>Application-driven development of a thermal imaging-based cabin occupant thermal sensation assessment model and its validation</t>
  </si>
  <si>
    <t>model; assessment; thermal imaging; vehicle air conditioner; thermal sensation; transient cabin indoor environment</t>
  </si>
  <si>
    <t>PARTIAL-BODY; COMFORT; TEMPERATURE</t>
  </si>
  <si>
    <t>The air conditioning (A/C) of cabins allows for customized control, but manual adjustments may distract drivers, as well as result in energy inefficiency. Several existing thermal sensation models require complex inputs, which are challenging to gather whilst driving. To address this issue, this study developed a non-contact thermal sensation model for cabin occupants based on thermal imaging sensor. To collect actual data used for modeling, an outdoor subject experiment was conducted. In this study, initial training was conducted to compare the performance of six algorithms in building the model, with random forests algorithm showing the best performance. Besides, this study employed the recursive feature elimination (RFE) method with cross-validation algorithm for identifying the key features. In the end, the model was retrained using the selected features. The model that incorporated both environmental parameters and facial-temperature features demonstrated the best performance, with an R2 of 0.659 on the test set. Eliminating the hard-to-measure windshield surface temperature resulted in a slight reduction in accuracy, yielding an R2 of 0.651. To verify the generalizability of the model, this study further conducted independent validation experiments. The selected model, which exhibited a mean absolute error (MAE) of less than 0.4 in thermal sensation units, was proven to be highly applicable. The results can offer new solutions for automatic control of cabin A/C.</t>
  </si>
  <si>
    <t>[Lyu, Junmeng; Yang, Yuxin; Shi, Yongxiang; Lian, Zhiwei] Shanghai Jiao Tong Univ, Sch Design, Dept Architecture, Shanghai, Peoples R China</t>
  </si>
  <si>
    <t>Lian, ZW (corresponding author), Shanghai Jiao Tong Univ, Sch Design, Dept Architecture, Shanghai, Peoples R China.</t>
  </si>
  <si>
    <t>10.1007/s12273-024-1147-0</t>
  </si>
  <si>
    <t>WOS:001266972200001</t>
  </si>
  <si>
    <t>Zhang, CB; Lu, J; Huang, JH; Zhao, Y</t>
  </si>
  <si>
    <t>Zhang, Chaobo; Lu, Jie; Huang, Jiahua; Zhao, Yang</t>
  </si>
  <si>
    <t>End-to-end data-driven modeling framework for automated and trustworthy short-term building energy load forecasting</t>
  </si>
  <si>
    <t>building energy load forecasting; end-to-end data-driven modeling; automated machine learning; Bayesian optimization; model retraining; model interpretation</t>
  </si>
  <si>
    <t>Conventional automated machine learning (AutoML) technologies fall short in preprocessing low-quality raw data and adapting to varying indoor and outdoor environments, leading to accuracy reduction in forecasting short-term building energy loads. Moreover, their predictions are not transparent because of their black box nature. Hence, the building field currently lacks an AutoML framework capable of data quality enhancement, environment self-adaptation, and model interpretation. To address this research gap, an improved AutoML-based end-to-end data-driven modeling framework is proposed. Bayesian optimization is applied by this framework to find an optimal data preprocessing process for quality improvement of raw data. It bridges the gap where conventional AutoML technologies cannot automatically handle missing data and outliers. A sliding window-based model retraining strategy is utilized to achieve environment self-adaptation, contributing to the accuracy enhancement of AutoML technologies. Moreover, a local interpretable model-agnostic explanations-based approach is developed to interpret predictions made by the improved framework. It overcomes the poor interpretability of conventional AutoML technologies. The performance of the improved framework in forecasting one-hour ahead cooling loads is evaluated using two-year operational data from a real building. It is discovered that the accuracy of the improved framework increases by 4.24%-8.79% compared with four conventional frameworks for buildings with not only high-quality but also low-quality operational data. Furthermore, it is demonstrated that the developed model interpretation approach can effectively explain the predictions of the improved framework. The improved framework offers a novel perspective on creating accurate and reliable AutoML frameworks tailored to building energy load prediction tasks and other similar tasks.</t>
  </si>
  <si>
    <t>[Zhang, Chaobo] Eindhoven Univ Technol, Dept Built Environm, Eindhoven, Netherlands; [Lu, Jie] Univ Cambridge, Dept Engn, Energy Efficient Cities Initiat, Cambridge, England; [Lu, Jie; Zhao, Yang] Zhejiang Univ, Inst Refrigerat &amp; Cryogen, Hangzhou, Peoples R China; [Huang, Jiahua] Zhejiang Prov Inst Architectural Design &amp; Res Co L, Inst Green Bldg &amp; Engn Design, Hangzhou, Peoples R China; [Zhao, Yang] Zhejiang Univ, Jiaxing Res Inst, Key Lab Clean Energy &amp; Carbon Neutral Zhejiang Pro, Jiaxing, Peoples R China</t>
  </si>
  <si>
    <t>Eindhoven University of Technology; University of Cambridge; Zhejiang University; Zhejiang University</t>
  </si>
  <si>
    <t>Zhao, Y (corresponding author), Zhejiang Univ, Inst Refrigerat &amp; Cryogen, Hangzhou, Peoples R China.;Zhao, Y (corresponding author), Zhejiang Univ, Jiaxing Res Inst, Key Lab Clean Energy &amp; Carbon Neutral Zhejiang Pro, Jiaxing, Peoples R China.</t>
  </si>
  <si>
    <t>10.1007/s12273-024-1149-y</t>
  </si>
  <si>
    <t>WOS:001251362600003</t>
  </si>
  <si>
    <t>Liu, HH; Liu, YC; Huang, HK; Wu, HJ; Huang, Y</t>
  </si>
  <si>
    <t>Liu, Huiheng; Liu, Yanchen; Huang, Huakun; Wu, Huijun; Huang, Yu</t>
  </si>
  <si>
    <t>Energy consumption dynamic prediction for HVAC systems based on feature clustering deconstruction and model training adaptation</t>
  </si>
  <si>
    <t>HVAC system energy consumption; clustering analysis; deep learning; model adaptation; dynamic prediction</t>
  </si>
  <si>
    <t>BUILDINGS; DEMAND</t>
  </si>
  <si>
    <t>The prediction of building energy consumption offers essential technical support for intelligent operation and maintenance of buildings, promoting energy conservation and low-carbon control. This paper focused on the energy consumption of heating, ventilation and air conditioning (HVAC) systems operating under various modes across different seasons. We constructed multi-attribute and high-dimensional clustering vectors that encompass indoor and outdoor environmental parameters, along with historical energy consumption data. To enhance the K-means algorithm, we employed statistical feature extraction and dimensional normalization (SFEDN) to facilitate data clustering and deconstruction. This method, combined with the gated recurrent unit (GRU) prediction model employing adaptive training based on the Particle Swarm Optimization algorithm, was evaluated for robustness and stability through k-fold cross-validation. Within the clustering-based modeling framework, optimal submodels were configured based on the statistical features of historical 24-hour data to achieve dynamic prediction using multiple models. The dynamic prediction models with SFEDN cluster showed a 11.9% reduction in root mean square error (RMSE) compared to static prediction, achieving a coefficient of determination (R2) of 0.890 and a mean absolute percentage error (MAPE) reduction of 19.9%. When compared to dynamic prediction based on single-attribute of HVAC systems energy consumption clustering modeling, RMSE decreased by 12.6%, R2 increased by 4.0%, and MAPE decreased by 26.3%. The dynamic prediction performance demonstrated that the SFEDN clustering method surpasses conventional clustering method, and multi-attribute clustering modeling outperforms single-attribute modeling.</t>
  </si>
  <si>
    <t>[Liu, Huiheng; Liu, Yanchen; Wu, Huijun; Huang, Yu] Guangzhou Univ, Sch Civil Engn &amp; Transportat, Guangzhou 510006, Peoples R China; [Huang, Huakun] Guangzhou Univ, Sch Comp Sci &amp; Cyber Engn, Guangzhou 510006, Peoples R China</t>
  </si>
  <si>
    <t>Liu, YC (corresponding author), Guangzhou Univ, Sch Civil Engn &amp; Transportat, Guangzhou 510006, Peoples R China.</t>
  </si>
  <si>
    <t>liuych@gzhu.edu.cn</t>
  </si>
  <si>
    <t>10.1007/s12273-024-1152-3</t>
  </si>
  <si>
    <t>WOS:001272293300001</t>
  </si>
  <si>
    <t>Yang, Y; Chen, S; Zhang, JQ; Zhang, ZY; Li, SY; Chen, KY; Xiao, XY</t>
  </si>
  <si>
    <t>Yang, Yang; Chen, Sarula; Zhang, Jiqiang; Zhang, Zhenya; Li, Shuying; Chen, Kunyu; Xiao, Xiuyi</t>
  </si>
  <si>
    <t>Thermal performances and invisible thermal barrier formation mechanism of arc-shaped metal-fin-enhanced thermally activated building envelopes with directional heat charging feature</t>
  </si>
  <si>
    <t>thermo-activated building envelope; thermal barrier formation; performance enhancement; arc-shaped metal fins; fin parameters; CFD model</t>
  </si>
  <si>
    <t>ENCAPSULATED PCM WALL; ENERGY EFFICIENCY; SOLAR-ENERGY; SYSTEM; WATER; FACADE; SAVINGS</t>
  </si>
  <si>
    <t>Thermally activated building envelopes (TABEs) are multifunctional component that combines structural and energy properties. Based on re-examining the heat charging processes, an arc-shaped metal-fin-enhanced TABE (Arc-finTABE) with directional heat charging features is proposed to optimize the thermal barrier formation process. A comprehensive parameterized analysis is conducted based on a validated mathematical model to explore the influence of 5 fin-structure design parameters and the static insulation thickness. Results verified that the directional charging strengthening fins can improve transient thermal performances of Arc-finATBE and enlarge horizontal and vertical sizes of the thermal energy accumulation area surrounding the pipeline, while the maximum growth in extra heat loss is less than 3.17%. From the perspective of promoting heat injection into expected areas, the straight main fin configurations with the angle of main fins of 30 degrees, shank length ratio of 0.4 and no leftward mounted fins are preferred in load-reduction mode, while the angle of main fins of 150 degrees, shank length ratio of 0.8 and multiple fin designs, especially with one of the main fins horizontally toward the indoor side, are more favorable in auxiliary-heating mode. Besides, it is recommended to add one arc-shaped branch fin to each main fin to achieve a balance between performance improvement and material usage. Moreover, branch fins with larger arc angles are preferred in auxiliary-heating mode, while smaller arc angles are conducive to injecting heat into the wall along main fins in load-reduction mode and preventing the heat near the inner surface from being extracted. Under the direct influence of the strengthened invisible thermal barrier, Arc-finTABEs can reduce the amount of static insulation layer by 20%-80% while achieving equivalent thermal performances as conventional high-performance walls.</t>
  </si>
  <si>
    <t>[Yang, Yang; Li, Shuying] Hefei Univ Technol, Coll Architecture &amp; Art, Hefei 230601, Peoples R China; [Yang, Yang; Chen, Sarula; Zhang, Zhenya] Anhui Jianzhu Univ, Anhui Prov Key Lab Intelligent Bldg &amp; Bldg Energy, Hefei 230601, Peoples R China; [Chen, Sarula; Chen, Kunyu; Xiao, Xiuyi] Anhui Jianzhu Univ, Sch Architecture &amp; Urban Planning, Hefei 230601, Peoples R China; [Zhang, Jiqiang] Jiangxi Normal Univ, Coll City Construct, Nanchang 330022, Peoples R China</t>
  </si>
  <si>
    <t>Hefei University of Technology; Anhui Jianzhu University; Anhui Jianzhu University; Jiangxi Normal University</t>
  </si>
  <si>
    <t>Chen, S (corresponding author), Anhui Jianzhu Univ, Anhui Prov Key Lab Intelligent Bldg &amp; Bldg Energy, Hefei 230601, Peoples R China.;Chen, S (corresponding author), Anhui Jianzhu Univ, Sch Architecture &amp; Urban Planning, Hefei 230601, Peoples R China.</t>
  </si>
  <si>
    <t>10.1007/s12273-024-1141-6</t>
  </si>
  <si>
    <t>WOS:001273955800002</t>
  </si>
  <si>
    <t>Domínguez-Torres, CA; Domínguez-Delgado, A</t>
  </si>
  <si>
    <t>Dominguez-Torres, Carlos-Antonio; Dominguez-Delgado, Antonio</t>
  </si>
  <si>
    <t>Impact of radiative cooling on the energy performance of courtyards in Mediterranean climate</t>
  </si>
  <si>
    <t>radiative cooling; passive cooling; CFD; three-dimensional modeling; energy saving; thermal comfort</t>
  </si>
  <si>
    <t>INDOOR THERMAL COMFORT; EXPERIMENTAL VALIDATION; BUILDINGS; SIMULATION; DEMAND; MODELS; SPACES</t>
  </si>
  <si>
    <t>Radiative cooling has proven to be a useful tool to address the problems of lack of comfort and excessive energy consumption in situations of high temperatures, overheating and heat waves. Likewise, incorporating courtyards in warm climate zones has been found to be highly beneficial in addressing similar challenges. Hence, there is interest in analyzing the combined effects of both: radiative cooling and courtyards. This paper presents an analysis of the impact of the application of radiative cooling on a courtyard using a comprehensive simulation approach that includes a CFD model for the thermodynamic airflow in the adjacent roofs and inside the courtyard, equations for the transient heat conduction through roofs, walls and courtyard slabs, and a hybrid raytracing-radiosity model for the evaluation of the solar radiation reaching the building surfaces and its reflections, both of specular and diffuse origin, and for the calculation of the thermal radiation exchange, especially with the sky. The results show that in the hot season, the courtyard with radiative cooling always provides lower temperatures than the initial courtyard does, with a temperature range of 18.33 degrees C to 33.78 degrees C, compared to a range of 19.32 degrees C to 38.00 degrees C in the initial courtyard, and producing a greater difference with outdoor temperatures that can reach 12 degrees C versus 8 degrees C for the reference case. In addition, it was found that the courtyard with radiative cooling is able to significantly reduce the observed nighttime overheating by providing lower temperatures than the outdoor temperatures in the 50% of the nights studied. It was also found that the thermal loads to achieve indoor thermal comfort in the spaces adjacent to the courtyard were reduced by 63.46% to 69.85%.</t>
  </si>
  <si>
    <t>[Dominguez-Torres, Carlos-Antonio] Univ Seville, Escuela Tecn Super Arquitectura, Ave Reina Mercedes,2, Seville 41012, Spain; [Dominguez-Delgado, Antonio] Univ Seville, Escuela Tecn Super Arquitectura, Dept Appl Math 1, Ave Reina Mercedes,2, Seville 41012, Spain</t>
  </si>
  <si>
    <t>University of Sevilla; University of Sevilla</t>
  </si>
  <si>
    <t>Domínguez-Torres, CA (corresponding author), Univ Seville, Escuela Tecn Super Arquitectura, Ave Reina Mercedes,2, Seville 41012, Spain.</t>
  </si>
  <si>
    <t>cdtorres@us.es</t>
  </si>
  <si>
    <t>10.1007/s12273-024-1153-2</t>
  </si>
  <si>
    <t>WOS:001286402400001</t>
  </si>
  <si>
    <t>Liu, HX; Liu, SQ; Li, XM; Han, ZW; Zhang, HY; Gao, B</t>
  </si>
  <si>
    <t>Liu, Haoxue; Liu, Siqi; Li, Xiuming; Han, Zongwei; Zhang, Haiyang; Gao, Bo</t>
  </si>
  <si>
    <t>Simulation analysis for controlling temperature stability of a radiant-board system served for thermodynamic temperature measurement laboratory</t>
  </si>
  <si>
    <t>metrology laboratory; accurate and stable; radiation air conditioning system; fluent simulation</t>
  </si>
  <si>
    <t>GAS THERMOMETRY; MODEL</t>
  </si>
  <si>
    <t>Fundamental metrology is closely tied to scientific advancement and requires well-equipped facilities to achieve low measurement uncertainty in rigorous experiments. Addressing the +/- 0.1 K high-stability temperature control issue of the precision laboratory radiant air conditioning system, this study investigated the influence of different radiant panel area ratios, laying methods, cold source water supply temperature fluctuations, and external environmental disturbances by simulations. The results indicate that: (1) the larger the ratio of radiant panel area, the greater the fluctuation in equipment surface temperature; (2) the surface temperature of the measurement equipment can satisfy +/- 0.1 K control temperature stability requirement when the fluctuations of the surface temperature of radiant panels and glass window are within +/- 0.5 K and +/- 1 K respectively without radiant panels on the ceiling; (3) the surface temperature of the measurement equipment can satisfy +/- 0.1 K control temperature stability requirement when the fluctuations of the surface temperature of radiant panels and glass window are within +/- 0.2 K and +/- 2 K respectively with radiant panels on the ceiling. This study provides a reference for the design and operation control of air conditioning systems in fundamental metrology.</t>
  </si>
  <si>
    <t>[Liu, Haoxue; Liu, Siqi; Li, Xiuming; Han, Zongwei] Northeastern Univ, Liaoning Engn Res Ctr Proc Ind Energy Saving &amp; Lo, Sch Met, Shenyang 110819, Peoples R China; [Liu, Siqi; Zhang, Haiyang; Gao, Bo] State Key Lab Cryogen Sci &amp; Technol, Beijing 100190, Peoples R China; [Zhang, Haiyang; Gao, Bo] Chinese Acad Sci, TIPC LNE Joint Lab Cryogen Metrol Sci &amp; Technol T, Tech Inst Phys &amp; Chem, Beijing 100190, Peoples R China</t>
  </si>
  <si>
    <t>Northeastern University - China; Chinese Academy of Sciences; Technical Institute of Physics &amp; Chemistry, CAS</t>
  </si>
  <si>
    <t>Li, XM; Han, ZW (corresponding author), Northeastern Univ, Liaoning Engn Res Ctr Proc Ind Energy Saving &amp; Lo, Sch Met, Shenyang 110819, Peoples R China.;Gao, B (corresponding author), State Key Lab Cryogen Sci &amp; Technol, Beijing 100190, Peoples R China.;Gao, B (corresponding author), Chinese Acad Sci, TIPC LNE Joint Lab Cryogen Metrol Sci &amp; Technol T, Tech Inst Phys &amp; Chem, Beijing 100190, Peoples R China.</t>
  </si>
  <si>
    <t>lixiuming@smm.neu.edu.cn; hanzongwei_neu@163.com; bgao@mail.ipc.ac.cn</t>
  </si>
  <si>
    <t>10.1007/s12273-024-1151-4</t>
  </si>
  <si>
    <t>WOS:001290056600001</t>
  </si>
  <si>
    <t>Yang, WN; Zhao, B</t>
  </si>
  <si>
    <t>Yang, Wanning; Zhao, Bin</t>
  </si>
  <si>
    <t>A real-time personal PM2.5 exposure monitoring system and its application for college students</t>
  </si>
  <si>
    <t>personal exposure; monitoring system; real-time; indoor air quality; fine particulate matter</t>
  </si>
  <si>
    <t>AIR-POLLUTION; PARTICULATE MATTER; LOW-COST; ULTRAFINE PARTICLES; QUALITY; INDOOR; SENSORS; TECHNOLOGIES; MORTALITY</t>
  </si>
  <si>
    <t>There is a growing need in public health to conduct large-scale epidemiological studies to investigate the health effects of fine particulate matter (PM2.5) exposure levels. In response to this need, we developed a real-time personal PM2.5 exposure monitoring system (PEPS: Personal Exposure PM2.5 System), which is capable of monitoring personal exposure concentration and uploading data in real time. The air quality self-labelling device, specifically customized for the PEPS, can be worn on the body and features functions for real-time data automatic upload, data storage, data export, and localization. This system enables researchers to obtain the big data of personal PM2.5 exposure concentration at low cost, with minimal manpower and technical requirements. It has been utilized to investigate the personal exposure levels of PM2.5 among college students in Beijing, China, providing a substantial volume of valuable data for indoor air quality and related epidemiological study. The maximum difference between the monitored daily average exposure concentration and the outdoor concentration was 265 mu g/m(3), corresponding to a relative error of 1579.5%. The correlation analysis of 11 factors showed that the correlation between exposure concentration and outdoor concentration was as high as 0.66 (p &lt; 0.001), and the correlation between exposure concentration and other certain factors was in the range of [-0.11, -0.03].</t>
  </si>
  <si>
    <t>[Yang, Wanning; Zhao, Bin] Tsinghua Univ, Sch Architecture, Dept Bldg Sci, Beijing 100084, Peoples R China; [Zhao, Bin] Tsinghua Univ, Beijing Key Lab Indoor Air Qual Evaluat &amp; Control, Beijing 100084, Peoples R China</t>
  </si>
  <si>
    <t>Zhao, B (corresponding author), Tsinghua Univ, Sch Architecture, Dept Bldg Sci, Beijing 100084, Peoples R China.;Zhao, B (corresponding author), Tsinghua Univ, Beijing Key Lab Indoor Air Qual Evaluat &amp; Control, Beijing 100084, Peoples R China.</t>
  </si>
  <si>
    <t>binzhao@tsinghua.edu.cn</t>
  </si>
  <si>
    <t>10.1007/s12273-024-1163-0</t>
  </si>
  <si>
    <t>WOS:001275218900001</t>
  </si>
  <si>
    <t>Zhang, JF; Zhao, SM; Liu, ZW; Li, YF; Li, YY; Fan, ZL; Ding, T</t>
  </si>
  <si>
    <t>Zhang, Jingfu; Zhao, Shumei; Liu, Zhiwei; Li, Yanfeng; Li, Youyu; Fan, Zilong; Ding, Tao</t>
  </si>
  <si>
    <t>Study on the discharge coefficient of wind-driven naturally ventilated Chinese solar greenhouses</t>
  </si>
  <si>
    <t>Chinese solar greenhouse; discharge coefficient; area ratio; position height; wind direction; altitude</t>
  </si>
  <si>
    <t>CROSS-VENTILATION; SIMULATION; OPENINGS; TUNNEL; RATES; RIDGE</t>
  </si>
  <si>
    <t>The Chinese solar greenhouse (CSG) is a prevalent feature in agricultural practices within China. Nevertheless, the regulation of natural ventilation within this architectural structure remains suboptimal. Consequently, the development of a natural ventilation model becomes imperative for the effective management of the greenhouse environment. Of particular significance within these models is the consideration of the discharge coefficient as a pivotal parameter. Conducting a multi-case investigation into the variable-dependent discharge coefficient is crucial for both practical application and model advancement. This research delved into the impact of various factors, including the upper-lower vents area ratio (Aup/Alow), vent-greenhouse area ratio (Alow/Agreenhouse), lower vent position height (h/H), the incident angle of the external wind, and altitude, on the discharge coefficient (Cd) of CSG. A CFD model was developed for a scaled CSG with validation conducted through field experiments and wind tunnel tests. Results indicated a 61.6% reduction in Cd on average corresponding to an 80% decrease in Aup/Alow. Cd levels remained consistent following the attainment of an Aup/Alow ratio of 1.0. Besides, there was an average increase of 52.5% in Cd levels for every 0.09 decline in h/H, attributed to the blocking effect of the cover. Moreover, the ventilation rate and the pressure coefficient difference were utilized to construct a model of Cd pertaining to greenhouse design and ventilation operation, exhibiting a notable accuracy level of R2 = 0.95. Furthermore, the blocking effect of higher h/H was relieved as the incident angle theta decreased under the windward conditions. The increase in Aup/Alow and the decrease in Alow/Agreenhouse were identified as crucial factors contributing to the growth of Cd under leeward conditions. Ultimately, the high-altitude environment led to a rise in Cd levels in contrast to the low-altitude region. The increasing rate of Cd correlated positively with Alow/Agreenhouse and h/H initially, but exhibited a decline once Alow/Agreenhouse reached 0.036, remaining stable thereafter once h/H reached 0.18. In summary, a comprehensive examination of the discharge coefficient of CSG was undertaken, addressing a significant knowledge deficiency and laying the groundwork for advancements in the natural ventilation model and the intelligent control system for CSG.</t>
  </si>
  <si>
    <t>[Zhang, Jingfu; Zhao, Shumei; Li, Youyu; Fan, Zilong; Ding, Tao] China Agr Univ, Coll Water Resources &amp; Civil Engn, Beijing 100080, Peoples R China; [Liu, Zhiwei] China Agr Univ, Infrastruct Construct Dept, Beijing 100080, Peoples R China; [Li, Yanfeng] Tibet Acad Agr &amp; Anim Husb Sci, Lhasa 851418, Peoples R China</t>
  </si>
  <si>
    <t>China Agricultural University; China Agricultural University; Tibet Academy of Agriculture &amp; Animal Husbandry Sciences</t>
  </si>
  <si>
    <t>Ding, T (corresponding author), China Agr Univ, Coll Water Resources &amp; Civil Engn, Beijing 100080, Peoples R China.</t>
  </si>
  <si>
    <t>dingtao@cau.edu.cn</t>
  </si>
  <si>
    <t>10.1007/s12273-024-1169-7</t>
  </si>
  <si>
    <t>SEP 2024</t>
  </si>
  <si>
    <t>WOS:001306210700001</t>
  </si>
  <si>
    <t>Avci, AB; Balci, GA; Basaran, T</t>
  </si>
  <si>
    <t>Avci, Ali Berkay; Balci, Goerkem Aybars; Basaran, Tahsin</t>
  </si>
  <si>
    <t>Exercise and resting periods: Thermal comfort dynamics in gym environments</t>
  </si>
  <si>
    <t>physical exercise; gradient boosting; thermoregulation; fitness; thermal comfort</t>
  </si>
  <si>
    <t>SKIN BLOOD-FLOW; COGNITIVE PERFORMANCE; TEMPERATURE; BODY</t>
  </si>
  <si>
    <t>Physical exercise spaces emerged as popular facilities due to recognizing the significance of physical well-being. This study investigates the relationship among physiological responses, human body energy transfer modes, and indoor environmental conditions in influencing thermal comfort perception within indoor physical exercise space. Seven male participants engaged in a 30 min constant-work-rate cycling exercise and a 20 min resting period in a climatic chamber. The physiological and environmental responses were recorded during the experiments, and the body's energy transfer modes were calculated using the collected data. The dataset was prepared using the 2 min averages of the collected data and calculated parameters across the experiment phases, including the features of skin temperature, core temperature, skin relative humidity, heart rate, oxygen consumption, body's heat transfer rates through convection, radiation, evaporation, and respiration, net metabolic heat production rate (metabolic rate minus external work rate), indoor air temperature, indoor relative humidity, air velocity, and radiant temperature. Gradient boosting regressor (GBR) was selected as the analyzing method to estimate predicted mean vote (PMV) and thermal sensation vote (TSV) indices during exercise and resting periods using features determined in the study. Thus, the four GBR models were defined as PMV-Exercise, PMV-Resting, TSV-Exercise, and TSV-Resting. In order to optimize the models' performances, the hyperparameter tuning process was executed using the GridSearchCV method. A permutation feature importance analysis was performed, emphasizing the significance of net metabolic heat production rate (24.2%), radiant temperature (17.0%), and evaporative heat transfer rate (13.1%). According to the results, PMV-Exercise, PMV-Resting, and TSV-Resting GBR models performed better, while TSV-Exercise faced challenges in predicting exercise thermal sensations. Critically, this study addresses the need to understanding the interrelationship among physiological responses, environmental conditions, and human body energy transfer modes during both exercise and resting periods to optimize thermal comfort within indoor exercise spaces. The results of this study contribute to the operation of indoor gym environments to refine their indoor environmental parameters to optimize users' thermal comfort and well-being. The study is limited to a small sample size consisting solely of male participants, which may restrict the generalizability of the findings. Future research could explore personalized thermal comfort control systems and synergies between comfort optimization and energy efficiency in indoor exercise spaces.</t>
  </si>
  <si>
    <t>[Avci, Ali Berkay; Basaran, Tahsin] Izmir Inst Technol, Fac Architecture, Dept Architecture, Izmir, Turkiye; [Balci, Goerkem Aybars] Ege Univ, Fac Sport Sci, Dept Coaching Educ, Izmir, Turkiye</t>
  </si>
  <si>
    <t>Izmir Institute of Technology; Ege University</t>
  </si>
  <si>
    <t>Avci, AB (corresponding author), Izmir Inst Technol, Fac Architecture, Dept Architecture, Izmir, Turkiye.</t>
  </si>
  <si>
    <t>aliavci@iyte.edu.tr</t>
  </si>
  <si>
    <t>10.1007/s12273-024-1142-5</t>
  </si>
  <si>
    <t>WOS:001282983600001</t>
  </si>
  <si>
    <t>Shen, YC; Hu, XY; Wang, XT; Zhang, MT; Deng, LR; Wang, W</t>
  </si>
  <si>
    <t>Shen, Yuchi; Hu, Xinyi; Wang, Xiaotong; Zhang, Mengting; Deng, Lirui; Wang, Wei</t>
  </si>
  <si>
    <t>Integrated framework for space- and energy-efficient retrofitting in multifunctional buildings: A synergy of agent-based modeling and performance-based modeling</t>
  </si>
  <si>
    <t>building retrofit; agent-based model; human behavior simulation; measurement of space; performance simulation</t>
  </si>
  <si>
    <t>EDUCATIONAL BUILDINGS; OCCUPANT BEHAVIORS; COMFORT; OPTIMIZATION; ARCHITECTURE; SIMULATION</t>
  </si>
  <si>
    <t>This research investigates retrofitting strategies for multifunctional spaces within educational buildings, employing agent-based and performance-based modeling to support decision-making. An experimental matrix was developed, reflecting three usage scenarios (reading, exhibition, lecture) across four retrofitting schemes. An agent-based model was developed to delineate intricate human behaviors in space and examined the self-organizing behaviors of 30 agents for each scheme in every scenario, evaluating six metrics on spatial efficiency and visual experience. Calibrated models, derived from real data and processed through DesignBuilder software, evaluated three metrics: energy use, thermal comfort, and visual comfort. The research then incorporated metrics from the agent-based model and performance simulation to develop a method for discussing the decision-making process in retrofit strategies. The findings indicate that the optimal retrofitting solution for multifunctional spaces is heavily influenced by the distribution of usage scenarios. Given the substantial influence of space metrics on selecting the optimal retrofit scheme, the proposed framework effectively facilitates decision-making for building retrofits by providing a holistic evaluation of both spatial and energy criteria.</t>
  </si>
  <si>
    <t>[Shen, Yuchi; Wang, Xiaotong; Deng, Lirui; Wang, Wei] Southeast Univ, Sch Architecture, Nanjing 210096, Jiangsu, Peoples R China; [Hu, Xinyi] Aalto Univ, Dept Elect Engn &amp; Automat, Espoo 02150, Finland; [Zhang, Mengting] City Univ Macau, Fac Innovat &amp; Design, Macau, Peoples R China; [Wang, Wei] Southeast Univ, Key Lab Urban &amp; Architectural Heritage Conservat, Minist Educ, Nanjing, Peoples R China</t>
  </si>
  <si>
    <t>Southeast University - China; Aalto University; City University of Macau; Southeast University - China</t>
  </si>
  <si>
    <t>Shen, YC; Wang, W (corresponding author), Southeast Univ, Sch Architecture, Nanjing 210096, Jiangsu, Peoples R China.;Wang, W (corresponding author), Southeast Univ, Key Lab Urban &amp; Architectural Heritage Conservat, Minist Educ, Nanjing, Peoples R China.</t>
  </si>
  <si>
    <t>yuchi_shen@seu.edu.cn; weiwang@seu.edu.cn</t>
  </si>
  <si>
    <t>10.1007/s12273-024-1148-z</t>
  </si>
  <si>
    <t>WOS:001276962700002</t>
  </si>
  <si>
    <t>Lu, XL; Zhao, SK; Zhai, YC; Liu, JL</t>
  </si>
  <si>
    <t>Lu, Xiling; Zhao, Shengkai; Zhai, Yongchao; Liu, Jianlin</t>
  </si>
  <si>
    <t>Exploring the effects of mask wearing on outdoor thermal comfort at different walking speeds-A thermal manikin-based experiment</t>
  </si>
  <si>
    <t>outdoor thermal comfort; face mask; clothing insulation; thermal manikin; metabolic rate</t>
  </si>
  <si>
    <t>TEMPERATURE; INDEX; PEDESTRIANS; FACEMASKS; SENSATION; RESPONSES; HEALTHY; INDOORS; CLIMATE; STRESS</t>
  </si>
  <si>
    <t>Face masks' wearing for a long duration brings thermal discomfort, especially in hot climate cities. The face masks' thermal insulation and its effect on outdoor thermal comfort have been rarely investigated. In this study, five types of face masks and their thermal insulations have been tested by using a thermal manikin in the climate chamber. Experimental results are assessed by using physiological equivalent temperature (PET) and standard effective temperature (SET*) for thermal comfort with masks at three walking speeds both in summer and winter. Slight differences in thermal insulation are observed among the different masks, the values of PET and SET* rise with increasing mask thermal insulation, and they are generally higher in summer than in winter. Moreover, the variation of SET* is more obvious than PET with same masks at different walking speeds. And the differences of SET* with and without masks appear to rise significantly for fast walking. Results further indicate that the individuals' physical discomfort caused by wearing masks cannot simply be assumed as an additional effect of the clothing thermal insulation. The findings enrich the clothing thermal insulation database, explore the differences in thermal indices if the face mask is used, and provide advice on heat mitigation with masks outdoors.</t>
  </si>
  <si>
    <t>[Lu, Xiling; Liu, Jianlin] Donghua Univ, Coll Environm Sci &amp; Engn, Shanghai 201620, Peoples R China; [Zhao, Shengkai; Zhai, Yongchao] Xian Univ Architecture &amp; Technol, State Key Lab Green Bldg, Xian 710055, Shaanxi, Peoples R China; [Zhao, Shengkai; Zhai, Yongchao] Xian Univ Architecture &amp; Technol, Coll Architecture, Xian 710055, Shaanxi, Peoples R China</t>
  </si>
  <si>
    <t>Donghua University; Xi'an University of Architecture &amp; Technology; Xi'an University of Architecture &amp; Technology</t>
  </si>
  <si>
    <t>Liu, JL (corresponding author), Donghua Univ, Coll Environm Sci &amp; Engn, Shanghai 201620, Peoples R China.</t>
  </si>
  <si>
    <t>jianlin.liu@dhu.edu.cn</t>
  </si>
  <si>
    <t>10.1007/s12273-024-1157-y</t>
  </si>
  <si>
    <t>WOS:001281331100001</t>
  </si>
  <si>
    <t>Sun, CT; Meng, Q; Yang, D; Li, MM</t>
  </si>
  <si>
    <t>Sun, Chutian; Meng, Qi; Yang, Da; Li, Mengmeng</t>
  </si>
  <si>
    <t>Factors, processes, and models of soundmark identification in urban parks</t>
  </si>
  <si>
    <t>soundmark; sound source; urban park; soundscape design</t>
  </si>
  <si>
    <t>GROUNDED THEORY APPROACH; INDOOR SOUNDSCAPE; QUALITY</t>
  </si>
  <si>
    <t>The concept of a soundmark refers to a distinctive sound source that identifies a particular area based on its environmental acoustic characteristics. This study investigated the factors and processes of soundmark identification in urban parks. After interviewing participants in 14 different urban parks in China, six categories that affect soundmark identification were identified, sound source, context, sound perception, individual features, response and comprehension. First, the core category is context. As for context, in amusement parks, activity parks, and nature parks, respectively, the theme, function, and scene affect the soundmark identification. For sound perception, soundmark identification is affected by the occurrence of birdsongs and the duration of water sounds in nature parks. Soundmark identification is affected by contrast, duration, and audio-visuals in amusement parks and activity parks. Furthermore, a soundmark identification model specifically for urban parks has been established. The model contains two identified processes: responsive soundmarks and comprehensive soundmarks. For responsive soundmark identification processes, sound source, context, sound perception, and response are essential factors. For comprehensive soundmark identification processes, sound source, context, individual features, and comprehension are essential factors. The soundmarks cannot be identified if the response or comprehension is missed during the process. Ultimately, the park's cultural features promote the identification of comprehensive soundmarks. In addition, soundmarks can be effectively transformed by changing the context of urban parks or the characteristics of sound perception.</t>
  </si>
  <si>
    <t>[Sun, Chutian; Meng, Qi; Yang, Da; Li, Mengmeng] Minist Ind &amp; Informat Technol, Key Lab Cold Reg Urban &amp; Rural Human Settlement En, Harbin 150006, Peoples R China; [Sun, Chutian; Meng, Qi; Yang, Da; Li, Mengmeng] Harbin Inst Technol, Sch Architecture &amp; Design, 92 West Dazhi St, Harbin 150006, Peoples R China</t>
  </si>
  <si>
    <t>Harbin Institute of Technology</t>
  </si>
  <si>
    <t>Meng, Q; Yang, D (corresponding author), Minist Ind &amp; Informat Technol, Key Lab Cold Reg Urban &amp; Rural Human Settlement En, Harbin 150006, Peoples R China.;Meng, Q; Yang, D (corresponding author), Harbin Inst Technol, Sch Architecture &amp; Design, 92 West Dazhi St, Harbin 150006, Peoples R China.</t>
  </si>
  <si>
    <t>mengq@hit.edu.cn; da.yang@hit.edu.cn</t>
  </si>
  <si>
    <t>10.1007/s12273-024-1162-1</t>
  </si>
  <si>
    <t>WOS:001276962700001</t>
  </si>
  <si>
    <t>Khatun, R; Das, D; Khorat, S; Aziz, SM; Anand, P; Mohan, M; Khan, A; Niyogi, D; Santamourish, M</t>
  </si>
  <si>
    <t>Khatun, Rupali; Das, Debashish; Khorat, Samiran; Aziz, Sk Mohammad; Anand, Prashant; Mohan, Manju; Khan, Ansar; Niyogi, Dev; Santamourish, Mattheos</t>
  </si>
  <si>
    <t>Urban scale rooftop super cool broadband radiative coolers in humid conditions</t>
  </si>
  <si>
    <t>tropical urban climate; extreme urban heat; urban heat mitigation; radiative cooler; WRF-urban model</t>
  </si>
  <si>
    <t>CANOPY MODEL; HEAT-ISLAND; SURFACE; PARAMETERIZATION; SIMULATION</t>
  </si>
  <si>
    <t>The presence of water molecules in the air can impact how super cool broadband radiative coolers behave. Higher humidity in the lower atmosphere traps infrared radiation, reducing heat sent back to outer space. In this study, a mesoscale urban climate model is used to evaluate the newly developed super cool materials with broadband emissivity not selective in atmospheric window as an arsenal for urban heat management of tropical wet and dry cities like Kolkata. The results suggest that the energy balance over urban domain has substantially been altered by the city scale deployment of super cool broadband radiative cooling materials on the building rooftop. Bowen ratio and evaporative fraction values were found decreasing and increasing, respectively with a positive directional polynomial (R2 = 0.968) relationship, after the implementation of super cool broadband radiative cooling materials and in comparison, to the unmitigated scenario. At high solar hour (14:00 LT), additional thermal variables of urban domain such as 2 m air temperature, surface skin temperature, urban canopy temperature, and roof surface temperature decrease by 2.3 degrees C, 5.4 degrees C, 0.8 degrees C, and 31.7 degrees C, respectively. Reflective super cool broadband materials achieve sub-ambient temperatures up to 11.7 degrees C during peak hours, reduce surface wind speed by 2.5 m s-1, and lower the planetary boundary layer by 1475 m. The average daytime drop is approximately 7.3 degrees C, and at night, it is close to 2.4 degrees C. Deployment induces a regional high over urban areas, disrupting sea breeze onset and lowering the planetary boundary layer. Finally, an optimal cooling performance for super cool broadband radiative coolers can be achieved in lower humidity conditions, as their efficiency decreases with increased humidity. Though needing further investigation, these findings of nano-science-based super cool broadband materials offer valuable insights for policymakers and urban planners addressing thermal management in densely packed tropical urban environments.</t>
  </si>
  <si>
    <t>[Khatun, Rupali; Khorat, Samiran] Jadavpur Univ, Sch Environm Studies, Kolkata, India; [Das, Debashish] Jadavpur Univ, Dept Architecture, Kolkata, India; [Aziz, Sk Mohammad] Vidyasagar Univ, Narajole Raj Coll, Dept Chem, Midnapore, India; [Anand, Prashant] Indian Inst Technol, Dept Architecture &amp; Reg Planning, Kharagpur, India; [Mohan, Manju] Indian Inst Technol, Ctr Atmospher Sci, Delhi, India; [Khan, Ansar] Univ Calcutta, Lalbaba Coll, Dept Geog, Kolkata, India; [Niyogi, Dev] Univ Texas Austin, Jackson Sch Geosci, Dept Earth &amp; Planetary Sci, Austin, TX USA; [Niyogi, Dev] Univ Texas Austin, Cockrell Sch Engn, Fariborz Maseeh Dept Civil Architectural &amp; Environ, Austin, TX USA; [Santamourish, Mattheos] Univ New South Wales, Sch Built Environm, Sydney, NSW, Australia</t>
  </si>
  <si>
    <t>Jadavpur University; Jadavpur University; Vidyasagar University; Indian Institute of Technology System (IIT System); Indian Institute of Technology (IIT) - Kharagpur; Indian Institute of Technology System (IIT System); Indian Institute of Technology (IIT) - Delhi; University of Calcutta; University of Texas System; University of Texas Austin; University of Texas System; University of Texas Austin; University of New South Wales Sydney</t>
  </si>
  <si>
    <t>Khan, A (corresponding author), Univ Calcutta, Lalbaba Coll, Dept Geog, Kolkata, India.</t>
  </si>
  <si>
    <t>ansar.geog@lalbabacollege.in</t>
  </si>
  <si>
    <t>10.1007/s12273-024-1150-5</t>
  </si>
  <si>
    <t>WOS:001269058100001</t>
  </si>
  <si>
    <t>Wang, QR</t>
  </si>
  <si>
    <t>Wang, Qi R.</t>
  </si>
  <si>
    <t>Towards zero-emission urban mobility: Leveraging AI and LCA for targeted interventions</t>
  </si>
  <si>
    <t>Editorial Material</t>
    <phoneticPr fontId="2" type="noConversion"/>
  </si>
  <si>
    <t>urban mobility; artificial intelligence (AI); life cycle assessment (LCA); sustainable transportation; data-driven policy</t>
  </si>
  <si>
    <t>Urban mobility is a critical contributor to greenhouse gas emissions, accounting for over 30% of urban carbon emissions in the United States in 2021. Addressing this challenge requires a comprehensive and data-driven approach to transform transportation systems into sustainable networks. This paper presents an integrated framework that leverages artificial intelligence (AI), machine learning (ML), and life cycle assessment (LCA) to analyze, model, and optimize urban mobility. The framework consists of four key components: AI-powered analysis and models, synthetic urban mobility data generation, LCA for environmental footprint analysis, and data-driven policy interventions. By combining these elements, the framework not only deciphers complex mobility patterns but also quantifies their environmental impacts, providing actionable insights for policy decisions aimed at reducing carbon emissions and promoting sustainable urban transportation. The implications of this approach extend beyond individual cities, offering a blueprint for global sustainable urban mobility.</t>
  </si>
  <si>
    <t>[Wang, Qi R.] Northeastern Univ, Dept Civil &amp; Environm Engn, 360 Huntington Ave, Boston, MA 02115 USA</t>
  </si>
  <si>
    <t>Northeastern University</t>
  </si>
  <si>
    <t>Wang, QR (corresponding author), Northeastern Univ, Dept Civil &amp; Environm Engn, 360 Huntington Ave, Boston, MA 02115 USA.</t>
  </si>
  <si>
    <t>q.wang@northeastern.edu</t>
  </si>
  <si>
    <t>OCT</t>
    <phoneticPr fontId="2" type="noConversion"/>
  </si>
  <si>
    <t>10.1007/s12273-024-1193-7</t>
  </si>
  <si>
    <t>OCT 2024</t>
  </si>
  <si>
    <t>WOS:001326398900002</t>
  </si>
  <si>
    <t>Xie, QX; Zhang, L</t>
  </si>
  <si>
    <t>Xie, Qixu; Zhang, Li</t>
  </si>
  <si>
    <t>Entropy-based guidance and predictive modelling of pedestrians' visual attention in urban environment</t>
  </si>
  <si>
    <t>Article</t>
    <phoneticPr fontId="2" type="noConversion"/>
  </si>
  <si>
    <t>visual attention; pedestrian; eye-tracking; local entropy; deep learning; urban ergonomics</t>
  </si>
  <si>
    <t>GAZE; RESPONSES</t>
  </si>
  <si>
    <t>Selective visual attention determines what pedestrians notice and ignore in urban environment. If consistency exists between different individuals' visual attention, designers can modify design by underlining mechanisms to better meet user needs. However, the mechanism of pedestrians' visual attention remains poorly understood, and it is challenging to forecast which position will attract pedestrians more in urban environment. To address this gap, we employed 360 degrees video and immersive virtual reality to simulate walking scenarios and record eye movement in 138 participants. Our findings reveal a remarkable consistency in fixation distribution across individuals, exceeding both chance and orientation bias. One driver of this consistency emerges as a strategy of information maximization, with participants tending to fixate areas of higher local entropy. Additionally, we built the first eye movement dataset for panorama videos of diverse urban walking scenes, and developed a predictive model to forecast pedestrians' visual attention by supervised deep learning. The predictive model aids designers in better understanding how pedestrians will visually interact with the urban environment during the design phase. The dataset and code of predictive model are available at https://github.com/LiamXie/UrbanVisualAttention</t>
  </si>
  <si>
    <t>[Xie, Qixu; Zhang, Li] Tsinghua Univ, Sch Architecture, Dept Architecture, Beijing 100084, Peoples R China; [Xie, Qixu; Zhang, Li] Tsinghua Univ, Sch Architecture, Urban Ergon Lab, Beijing 100084, Peoples R China</t>
  </si>
  <si>
    <t>Zhang, L (corresponding author), Tsinghua Univ, Sch Architecture, Dept Architecture, Beijing 100084, Peoples R China.;Zhang, L (corresponding author), Tsinghua Univ, Sch Architecture, Urban Ergon Lab, Beijing 100084, Peoples R China.</t>
  </si>
  <si>
    <t>brianchang@mail.tsinghua.edu.cn</t>
  </si>
  <si>
    <t>10.1007/s12273-024-1165-y</t>
  </si>
  <si>
    <t>WOS:001306548100001</t>
  </si>
  <si>
    <t>Yuan, Y; Song, CC; Gao, LY; Zeng, KJ; Chen, YX</t>
  </si>
  <si>
    <t>Yuan, Yue; Song, Chengcheng; Gao, Liying; Zeng, Kejun; Chen, Yixing</t>
  </si>
  <si>
    <t>A review of current research on occupant-centric control for improving comfort and energy efficiency</t>
  </si>
  <si>
    <t>Review</t>
    <phoneticPr fontId="2" type="noConversion"/>
  </si>
  <si>
    <t>occupant-centric control; occupant behavior; occupancy; data-driven models; IoT technology</t>
  </si>
  <si>
    <t>LIGHTING CONTROL; MODELING METHODOLOGIES; COMMERCIAL BUILDINGS; DAYLIGHTING CONTROL; THERMAL COMFORT; CONTROL-SYSTEM; BEHAVIOR; HVAC; CONSERVATION; SIMULATION</t>
  </si>
  <si>
    <t>Occupant-centric control (OCC) is intelligent control of building systems based on the real comfort needs of occupants. This paper provides a comprehensive review of how real-world data on energy-related occupant behavior (OB) can be integrated and applied in OCC systems. The aim is to accurately portray the real occupant needs and improve energy efficiency without sacrificing occupant comfort. This paper first introduces two types of OB: detailed occupancy states and energy-interaction behaviors, including methods to monitor, establish, and predict these OB. Then, OCC is divided into real-time control and model-based predictive control, and each of these four scenarios is discussed. It extensively reviews OCC methods for different equipment in four cases, covering control strategies, control scales, comfort enhancement scenarios, and energy-saving potential for each category. It is summarized that despite extensive research on OB, there are still significant challenges in integrating this research into OCC. A major issue is the lack of a bridge connecting monitoring acquired information and controls. In addition, the article reviews the current state of OCC platform development. The future direction should be combined with advanced Internet of Things (IoT) technologies, WiFi, and other communication technologies to obtain information about people's behavior and real needs in order to create truly energy efficient and comfortable smart environments. The article also discusses how enhancing the real-time feedback capability of the OCC system can help improve the overall control system capability and the importance of testing through experimentation.</t>
  </si>
  <si>
    <t>[Yuan, Yue; Song, Chengcheng; Gao, Liying; Zeng, Kejun; Chen, Yixing] Hunan Univ, Coll Civil Engn, Changsha 410082, Peoples R China; [Chen, Yixing] Hunan Univ, Key Lab Bldg Safety &amp; Energy Efficiency, Minist Educ, Changsha 410082, Peoples R China</t>
  </si>
  <si>
    <t>10.1007/s12273-024-1170-1</t>
  </si>
  <si>
    <t>WOS:001302329200002</t>
  </si>
  <si>
    <t>Zhang, YB; Li, HX; Wang, SW</t>
  </si>
  <si>
    <t>Zhang, Yingbo; Li, Hangxin; Wang, Shengwei</t>
  </si>
  <si>
    <t>Energy performance analysis of multi-chiller cooling systems for data centers concerning progressive loading throughout the lifecycle under typical climates</t>
  </si>
  <si>
    <t>data center; cooling system; energy performance; life-cycle operation; power usage effectiveness (PUE); coefficient of performance (COP)</t>
  </si>
  <si>
    <t>DESIGN; MODEL</t>
  </si>
  <si>
    <t>The increasing demand for cooling energy in data centers has become a global concern. Existing studies lack a comprehensive analysis of the energy performance of widely used multi-chiller cooling systems in air-cooled data centers throughout their lifecycle, especially concerning progressive loading. To bridge this gap, this study conducts a thorough assessment of the energy performance of multi-chiller cooling systems throughout the entire lifecycle. Additionally, the impact of climate conditions on the energy efficiency of the cooling systems is analyzed, considering design variations for typical climates. Multi-chiller cooling system models are developed using the test data of cooling equipment and typical control algorithms. The energy performance of the cooling system is thoroughly analyzed under full-range cooling loads and climate conditions. Results show that free cooling time could differ up to 1442 hours at different part load ratios in the same location. Furthermore, the cooling system's coefficient of performance (COP) varies significantly, by up to 6, at different part load ratios, corresponding to a difference in power usage effectiveness (PUE) up to 0.14. Notably, the average cooling system COP throughout the lifecycle loading is found to be only 11.7, 2.9 lower than the design system COP.</t>
  </si>
  <si>
    <t>[Zhang, Yingbo; Li, Hangxin; Wang, Shengwei] Hong Kong Polytech Univ, Dept Bldg Environm &amp; Energy Engn, Hong Kong, Peoples R China; [Wang, Shengwei] Hong Kong Polytech Univ, Res Inst Smart Energy, Hong Kong, Peoples R China</t>
  </si>
  <si>
    <t>Hong Kong Polytechnic University; Hong Kong Polytechnic University</t>
  </si>
  <si>
    <t>Li, HX; Wang, SW (corresponding author), Hong Kong Polytech Univ, Dept Bldg Environm &amp; Energy Engn, Hong Kong, Peoples R China.;Wang, SW (corresponding author), Hong Kong Polytech Univ, Res Inst Smart Energy, Hong Kong, Peoples R China.</t>
  </si>
  <si>
    <t>hangxin.li@polyu.edu.hk; beswwang@polyu.edu.hk</t>
  </si>
  <si>
    <t>10.1007/s12273-024-1167-9</t>
  </si>
  <si>
    <t>WOS:001302329200001</t>
  </si>
  <si>
    <t>Xiong, CL; Li, GN; Yan, Y; Zhang, HY; Xu, CL; Chen, L</t>
  </si>
  <si>
    <t>Xiong, Chenglong; Li, Guannan; Yan, Ying; Zhang, Hanyuan; Xu, Chengliang; Chen, Liang</t>
  </si>
  <si>
    <t>Effects of various information scenarios on layer-wise relevance propagation-based interpretable convolutional neural networks for air handling unit fault diagnosis</t>
  </si>
  <si>
    <t>air handling unit (AHU); fault diagnosis; convolutional neural network (CNN); layer-wise relevance propagation (LRP); interpretation and explanation; various information scenarios</t>
  </si>
  <si>
    <t>FDD STRATEGY; MODEL; AHU; VALIDATION; SYSTEMS</t>
  </si>
  <si>
    <t>Deep learning (DL), especially convolutional neural networks (CNNs), has been widely applied in air handling unit (AHU) fault diagnosis (FD). However, its application faces two major challenges. Firstly, the accessibility of operational state variables for AHU systems is limited in practical, and the effectiveness and applicability of existing DL methods for diagnosis require further validation. Secondly, the interpretability performance of DL models under various information scenarios needs further exploration. To address these challenges, this study utilized publicly available ASHRAE RP-1312 AHU fault data and employed CNNs to construct three FD models under three various information scenarios. Furthermore, the layer-wise relevance propagation (LRP) method was used to interpret and explain the effects of these three various information scenarios on the CNN models. An R-threshold was proposed to systematically differentiate diagnostic criteria, which further elucidates the intrinsic reasons behind correct and incorrect decisions made by the models. The results showed that the CNN-based diagnostic models demonstrated good applicability under the three various information scenarios, with an average diagnostic accuracy of 98.55%. The LRP method provided good interpretation and explanation for understanding the decision mechanism of CNN models for the unlimited information scenarios. For the very limited information scenario, since the variables are restricted, although LRP can reveal key variables in the model's decision-making process, these key variables have certain limitations in terms of data and physical explanations for further improving the model's interpretation. Finally, an in-depth analysis of model parameters-such as the number of convolutional layers, learning rate, beta parameters, and training set size-was conducted to examine their impact on the interpretative results. This study contributes to clarifying the effects of various information scenarios on the diagnostic performance and interpretability of LRP-based CNN models for AHU FD, which helps provide improved reliability of DL models in practical applications.</t>
  </si>
  <si>
    <t>[Xiong, Chenglong; Li, Guannan; Xu, Chengliang; Chen, Liang] Wuhan Univ Sci &amp; Technol, Sch Urban Construct, Wuhan 430065, Peoples R China; [Yan, Ying] Nanjing Univ Informat Sci &amp; Technol, Jiangsu Collaborat Innovat Ctr Atmospher Environm, Nanjing 210044, Peoples R China; [Zhang, Hanyuan] Shandong Jianzhu Univ, Sch Informat &amp; Elect Engn, Shandong Key Lab Intelligent Bldg Technol, Jinan 250101, Peoples R China; [Li, Guannan] Chongqing Univ, Key Lab Low Grade Energy Utilizat Technol &amp; Syst, Minist Educ China, Chongqing 400044, Peoples R China; [Li, Guannan] Xian Univ Architecture &amp; Technol, State Key Lab Green Bldg Western China, Xian 710055, Peoples R China</t>
  </si>
  <si>
    <t>Wuhan University of Science &amp; Technology; Nanjing University of Information Science &amp; Technology; Shandong Jianzhu University; Chongqing University; Xi'an University of Architecture &amp; Technology</t>
  </si>
  <si>
    <t>Li, GN (corresponding author), Wuhan Univ Sci &amp; Technol, Sch Urban Construct, Wuhan 430065, Peoples R China.;Li, GN (corresponding author), Chongqing Univ, Key Lab Low Grade Energy Utilizat Technol &amp; Syst, Minist Educ China, Chongqing 400044, Peoples R China.;Li, GN (corresponding author), Xian Univ Architecture &amp; Technol, State Key Lab Green Bldg Western China, Xian 710055, Peoples R China.</t>
  </si>
  <si>
    <t>guannanli@wust.edu.cn</t>
  </si>
  <si>
    <t>10.1007/s12273-024-1154-1</t>
  </si>
  <si>
    <t>WOS:001292755800001</t>
  </si>
  <si>
    <t>Fu, LZ; Guo, JZ; Zhang, Y; Jing, XH; Lu, LH; Wang, Y; Jiang, RM; Liu, L</t>
  </si>
  <si>
    <t>Fu, Linzhi; Guo, Jiazhen; Zhang, Yu; Jing, Xiaohong; Lu, Lianhe; Wang, Yi; Jiang, Rongmeng; Liu, Li</t>
  </si>
  <si>
    <t>Quantification and influence factor analysis on total inward leakage of N95 respirators by simulating healthcare professional's procedures</t>
  </si>
  <si>
    <t>N95 respirator; total inward leakage; healthcare personnel; fitting test</t>
  </si>
  <si>
    <t>FACIAL ANTHROPOMETRIC DIMENSIONS; RANDOMIZED CLINICAL-TRIAL; FILTERING-FACEPIECE; MEDICAL MASKS; FIT; PROTECTION; WORKERS; ASSOCIATION; EFFICIENCY; GENDER</t>
  </si>
  <si>
    <t>Respiratory protection is critical to minimize airborne infection risk for healthcare workers. The main factor affecting infection risk in the medical scenario is leakage between the respirator and the healthcare workers' face. However, it is difficult to quantify the effectiveness of respirators due to the numerous influencing factors. The medical activities were simulated by the fitting test, and the inverse of the results were used to get the total inward leakage of respirators. 114 subjects were divided according to gender, profession, age, risk area, and BMIs, participated in fitting test of four N95 respirators. The result showed that the value range of total inward leakage for tested N95 respirators was between 0.50% and 2.39%. Flat-folded respirators were more prone to leakage than cup-shaped ones, so it was essential to account for the impact of respirator shape. Similarly, this study found that gender and profession had no significant correlation with total inward leakage. Some medical procedures include bending, and turning head from side to side, or up and down, which had a significant influence on the protective efficacy of the N95 respirator. Facial dimensions and BMI exerted a more pronounced influence on the protective efficacy of the N95 respirator, and they were in the correlations. Healthcare personnels wore a well-fitting N95 respirator properly for excellent protection, reducing occurrence of nosocomial infections and occupational exposures, and optimizing respiratory protection strategies.</t>
  </si>
  <si>
    <t>[Fu, Linzhi; Zhang, Yu; Wang, Yi] Xian Univ Architecture &amp; Technol, State Key Lab Green Bldg, Xian 710055, Peoples R China; [Fu, Linzhi] Xian Univ Architecture &amp; Technol, Sch Resources Engn, Xian 710055, Peoples R China; [Guo, Jiazhen; Jing, Xiaohong; Lu, Lianhe; Jiang, Rongmeng] Capital Med Univ, Beijing Ditan Hosp, Beijing 100015, Peoples R China; [Zhang, Yu; Wang, Yi] Xian Univ Architecture &amp; Technol, Sch Bldg Serv Sci &amp; Engn, Xian 710055, Peoples R China; [Liu, Li] Tsinghua Univ, Dept Bldg Sci, Beijing 100084, Peoples R China; [Liu, Li] Tsinghua Univ, Lab Ecoplanning &amp; Green Bldg, Minist Educ, Beijing 100084, Peoples R China</t>
  </si>
  <si>
    <t>Xi'an University of Architecture &amp; Technology; Xi'an University of Architecture &amp; Technology; Capital Medical University; Xi'an University of Architecture &amp; Technology; Tsinghua University; Tsinghua University</t>
  </si>
  <si>
    <t>Jiang, RM (corresponding author), Capital Med Univ, Beijing Ditan Hosp, Beijing 100015, Peoples R China.;Liu, L (corresponding author), Tsinghua Univ, Dept Bldg Sci, Beijing 100084, Peoples R China.;Liu, L (corresponding author), Tsinghua Univ, Lab Ecoplanning &amp; Green Bldg, Minist Educ, Beijing 100084, Peoples R China.</t>
  </si>
  <si>
    <t>rongmengj@163.com; liuli_archi@tsinghua.edu.cn</t>
  </si>
  <si>
    <t>WOS:001291240300001</t>
  </si>
  <si>
    <t>Song, C; Li, XH; Liu, YF; Gao, LX</t>
  </si>
  <si>
    <t>Song, Cong; Li, Xiaohui; Liu, Yanfeng; Gao, Longxiang</t>
  </si>
  <si>
    <t>Diffusion characteristics of oxygenic-thermal coupled airflow in high-altitude sleeping environment</t>
  </si>
  <si>
    <t>high altitudes; oxygenic-thermal coupled airflow; sleep environment; CFD method</t>
  </si>
  <si>
    <t>COMFORT; PLUME</t>
  </si>
  <si>
    <t>About 1/3 of human life is spent sleeping. The hypoxic and cold environment in high-altitude areas leads to sleep disorders that are more prominently harmful to the human body. To improve the quality of human sleep in high-altitude areas, this study explored the thermal and oxygen environment regulation for plateau sleep. In this study, the influencing factors of the diffusion of oxygenic-thermal coupled airflow were determined through the theoretical analysis of a thermal fluid mechanic jet. This study used computational fluid dynamics (CFD) to investigate the diffusion characteristics of the oxygenic-thermal coupled airflow with a sleeping experiment conducted on the plateau. The results showed that the influence of the thermal plume at 0.1 m near the human face was larger, and the oxygenic-thermal coupled airflow diffusion process was mainly divided into three phases over time. The size and time to stabilize the oxygen volume fraction in the inhalation zone varied between conditions and were strongly influenced by the temperature difference of the supply air. The effects of the thermal and oxygen environment were analyzed using indicators such as facial-area speed ratio, draft risk, and personal oxygen inhalation efficiency. The optimal design strategies were recommended with an outlet air velocity of 1.5 m/s, a temperature difference of 8 K between the outlet airflow and the indoor background air, and an outlet oxygen volume fraction of 30%. The results can provide implications for regulating the thermal and oxygen environment to improve human sleep quality in high-altitude areas.</t>
  </si>
  <si>
    <t>[Song, Cong; Liu, Yanfeng] Xian Univ Architecture &amp; Technol, State Key Lab Green Bldg, Xian 710055, Shaanxi, Peoples R China; [Song, Cong; Li, Xiaohui; Liu, Yanfeng; Gao, Longxiang] Xian Univ Architecture &amp; Technol, Sch Bldg Serv Sci &amp; Engn, Xian 710055, Shaanxi, Peoples R China</t>
  </si>
  <si>
    <t>Song, C (corresponding author), Xian Univ Architecture &amp; Technol, State Key Lab Green Bldg, Xian 710055, Shaanxi, Peoples R China.;Song, C (corresponding author), Xian Univ Architecture &amp; Technol, Sch Bldg Serv Sci &amp; Engn, Xian 710055, Shaanxi, Peoples R China.</t>
  </si>
  <si>
    <t>songcong@xauat.edu.cn</t>
  </si>
  <si>
    <t>10.1007/s12273-024-1155-0</t>
  </si>
  <si>
    <t>WOS:001292755800002</t>
  </si>
  <si>
    <t>Li, Q; Li, Q; Wu, HT; Mi, JY; Lu, XH; Mochida, A; Ishida, Y; Liu, ZX</t>
  </si>
  <si>
    <t>Li, Qiong; Li, Qi; Wu, Haotian; Mi, Jiayi; Lu, Xiaohui; Mochida, Akashi; Ishida, Yasuyuki; Liu, Zhixin</t>
  </si>
  <si>
    <t>Study on the modified three-temperature model for spatial extrapolation of evapotranspiration based on individual urban vegetation evapotranspiration data</t>
  </si>
  <si>
    <t>Bowen ratio system; evapotranspiration; sap flow method; three-temperature model; urban vegetation</t>
  </si>
  <si>
    <t>ENERGY FLUXES; TRANSPIRATION; HEAT; CANOPY; SOIL; TEMPERATURE; EVAPORATION; WATER; ENVIRONMENT; SHADE</t>
  </si>
  <si>
    <t>The evapotranspiration (ET) from urban vegetation is recognized as an effective way to improve the urban thermal environment. However, the traditional ET measurement approaches, such as the sap flow method, are limited in providing urban ET for specific areas. Consequently, establishing quantitative relationship between cooling effects and ET becomes challenging, which is crucial for understanding the role of urban greenery in mitigating urban heat. To overcome this challenge, an estimation model based on the three-temperature (3T) model was developed for accurately estimating urban ET by employing a reference tree with accurate ET data. In contrast to the 3T model, this study proposed a new method (modified 3T model) that considers the influence of the three-dimensional crown structure on the energy balance. Additionally, it retains the advantage over traditional ET models by not requiring the calculation of resistance parameters. This reduces the impact of uncertainty in the estimated resistance parameters on the ET results. The modified 3T model was validated based on the sap flow method and Bowen ratio system, where the results indicated good agreement between the modified 3T model and measured ET data, with root mean square errors of 22.2 Wm-2 and 26.4 Wm-2, respectively. Furthermore, the absolute relative error of ET estimation was affected by energy-related factors, such as solar radiation, air temperature, and relative humidity. The modified 3T model exhibited low sensitivity to surface temperatures, where the average sensitivity coefficients were below +/- 0.15 from 0600 local time (LT) to 1700 LT. Considering the low accuracy of surface temperatures measured by infrared cameras (+/- 2 degrees C), it would be beneficial to combine the modified 3T model with unmanned aerial vehicles and infrared remote sensing to measure urban ET.</t>
  </si>
  <si>
    <t>[Li, Qiong; Li, Qi; Wu, Haotian; Mi, Jiayi; Lu, Xiaohui] South China Univ Technol, State Key Lab Subtrop Bldg &amp; Urban Sci, Guangzhou 510640, Guangdong, Peoples R China; [Li, Qiong; Li, Qi; Wu, Haotian; Mi, Jiayi; Lu, Xiaohui] South China Univ Technol, Sch Architecture, Guangzhou 510640, Guangdong, Peoples R China; [Mochida, Akashi; Ishida, Yasuyuki] Tohoku Univ, Grad Sch Engn, Sendai 9808579, Japan; [Liu, Zhixin] Univ Sheffield, Sch Architecture &amp; Landscape, Sheffield S10 2TN, England</t>
  </si>
  <si>
    <t>South China University of Technology; South China University of Technology; Tohoku University; University of Sheffield</t>
  </si>
  <si>
    <t>Li, Q (corresponding author), South China Univ Technol, State Key Lab Subtrop Bldg &amp; Urban Sci, Guangzhou 510640, Guangdong, Peoples R China.;Li, Q (corresponding author), South China Univ Technol, Sch Architecture, Guangzhou 510640, Guangdong, Peoples R China.</t>
  </si>
  <si>
    <t>arliqi@mail.scut.edu.cn</t>
  </si>
  <si>
    <t>10.1007/s12273-024-1158-x</t>
  </si>
  <si>
    <t>WOS:001286402300001</t>
  </si>
  <si>
    <t>Yang, G; Wang, YF; Chan, KC; Mui, KW; Flemmig, TF; Ng, ST; Chao, CYH; Fu, SC</t>
  </si>
  <si>
    <t>Yang, Gang; Wang, Yifan; Chan, Ka Chung; Mui, Kwok Wai; Flemmig, Thomas F.; Ng, S. Thomas; Chao, Christopher Y. H.; Fu, Sau Chung</t>
  </si>
  <si>
    <t>Effectiveness of air cleaner on mitigating the transmission of respiratory disease in a dental clinic environment</t>
  </si>
  <si>
    <t>infection risk; air cleaner location; dental clinic; CFD simulation; respiratory disease</t>
  </si>
  <si>
    <t>BACTERIAL AEROSOLS; VENTILATION; DISPERSION; INFECTION; DROPLETS; REMOVAL; IMPACT; MODEL</t>
  </si>
  <si>
    <t>In dental clinics with an open floor plan, the risk of patient-to-patient transmission of respiratory disease is a concern. During dental procedures large amounts of bioaerosol are produced and patients cannot wear personal protective equipment. This paper examines how to effectively deploy air cleaner to reduce the infection risk in dental clinics with an open floor plan. Various locations of air cleaners at various clean air delivery rates (CADRs) were investigated. The dispersion of bioaerosol was studied through numerical simulations, and risk assessment was performed by a dose-response method. The findings indicated that dental patients downstream of the background ventilation have a higher infection risk than those to the left and right of an infected patient (i.e., the source). The lowest infection risks for the adjacent patients were found when the air cleaner was place opposite to the dentists, i.e., on the floor at low CADR levels of 2.2 m3/min or on the bench at CADR levels of 4.4 m3/min or greater. The results of this study indicated that air cleaner can mitigate the risk of patient-to-patient transmission of SARS-CoV-2 in dental clinics with an open floor plan. Background CADR levels determine the optimal placement of air cleaners.</t>
  </si>
  <si>
    <t>[Yang, Gang; Wang, Yifan; Chan, Ka Chung; Mui, Kwok Wai; Chao, Christopher Y. H.; Fu, Sau Chung] Hong Kong Polytech Univ, Dept Bldg Environm &amp; Energy Engn, Hong Kong, Peoples R China; [Flemmig, Thomas F.] Univ Hong Kong, Fac Dent, Hong Kong, Peoples R China; [Ng, S. Thomas] City Univ Hong Kong, Dept Architecture &amp; Civil Engn, Hong Kong, Peoples R China; [Chao, Christopher Y. H.] Hong Kong Polytech Univ, Dept Mech Engn, Hong Kong 999077, Peoples R China</t>
  </si>
  <si>
    <t>Hong Kong Polytechnic University; University of Hong Kong; City University of Hong Kong; Hong Kong Polytechnic University</t>
  </si>
  <si>
    <t>Fu, SC (corresponding author), Hong Kong Polytech Univ, Dept Bldg Environm &amp; Energy Engn, Hong Kong, Peoples R China.</t>
  </si>
  <si>
    <t>schung.fu@polyu.edu.hk</t>
  </si>
  <si>
    <t>10.1007/s12273-024-1159-9</t>
  </si>
  <si>
    <t>WOS:001302645500001</t>
  </si>
  <si>
    <t>Yan, JR; Zhao, LH; Sun, XF; Zhao, HH; Zheng, HC; Wang, Y</t>
  </si>
  <si>
    <t>Yan, Junru; Zhao, Lihua; Sun, Xiufeng; Zhao, Huihui; Zheng, Haichao; Wang, Yu</t>
  </si>
  <si>
    <t>Scaling, optimisation, and application of vegetation canopy radiative transfer model at microclimate scale</t>
  </si>
  <si>
    <t>vegetation canopy radiative transfer; scaling; microclimate; thermal comfort</t>
  </si>
  <si>
    <t>URBAN; PHOTOSYNTHESIS; SIMULATION; COMFORT</t>
  </si>
  <si>
    <t>Urban greenery is widely recognised as a strategy to mitigate urban overheating, and its shading capacity is crucial for improving microclimate and thermal comfort. Nevertheless, research on modelling the vegetation canopy radiation transfer (VCRT) process for the microscale is lacking, and most existing VCRT models are taken out from mesoscale models. In this study, we used canopy morphology and structure as an entry point to construct a VCRT model for the microscale, from the mesoscale model. Firstly, 100 m and 1000 m were defined as the critical scales by scaling, and the effect of leaf distribution on VCRT was analysed. The VCRT model was made applicable to the microscale by introducing a scattered radiation source term and 6 leaf inclination distribution (LID) functions, and the results showed that the proposed model could improve the accuracy of canopy radiation absorptivity by about 11%. In addition, both leaf area index (LAI) and LID had significant effects on VCRT, and vegetation with LAI above 2 and spreading leaves had better shading effects. It is worth noting that urban greenery has an exciting potential for thermal comfort improvement, with the potential to regulate even extremely hot weather from near very hot (148 W/m2) to almost comfortable (69 W/m2). This study is a catalyst for improving the predictability of the VCRT process for microclimate and thermal comfort, providing theoretical support and implications for mitigating urban overheating and enhancing urban thermal resilience.</t>
  </si>
  <si>
    <t>[Yan, Junru; Sun, Xiufeng] Southwest Univ, Coll Hort &amp; Landscape Architecture, Minist Educ, Key Lab Agr Biosafety &amp; Green Prod Upper Yangtze R, Chongqing 400715, Peoples R China; [Yan, Junru; Zhao, Lihua; Zhao, Huihui] South China Univ Technol, Sch Architecture, State Key Lab Subtrop Bldg &amp; Urban Sci, Guangzhou 510640, Peoples R China; [Zheng, Haichao] Shandong Jianzhu Univ, Sch Architecture &amp; Urban Planning, Jinan 250100, Peoples R China; [Wang, Yu] Yangtze Normal Univ, Sch Adv Agr &amp; Bioengn, Chongqing 408100, Peoples R China</t>
  </si>
  <si>
    <t>Southwest University - China; South China University of Technology; Shandong Jianzhu University; Yangtze Normal University</t>
  </si>
  <si>
    <t>Zhao, LH (corresponding author), South China Univ Technol, Sch Architecture, State Key Lab Subtrop Bldg &amp; Urban Sci, Guangzhou 510640, Peoples R China.</t>
  </si>
  <si>
    <t>lhzhao@scut.edu.cn</t>
  </si>
  <si>
    <t>10.1007/s12273-024-1161-2</t>
  </si>
  <si>
    <t>WOS:001326398900001</t>
  </si>
  <si>
    <t>Fan, XW; Zhang, H; Wan, ZH; Liu, ZK; Liu, JL; Yang, JB; Liu, SJ; Pu, JX; Wang, ZY; Jiang, Y; Wu, ZX; You, SJ; Zheng, WD</t>
  </si>
  <si>
    <t>Fan, Xianwang; Zhang, Huan; Wan, Zhihao; Liu, Zhikai; Liu, Jiali; Yang, Junbin; Liu, Sujie; Pu, Jiaxuan; Wang, Zhaoying; Jiang, Yan; Wu, Zhangxiang; You, Shijun; Zheng, Wandong</t>
  </si>
  <si>
    <t>A simplified model for unsteady airflow analysis in ultra-long tunnels based on the resistance compensation method</t>
  </si>
  <si>
    <t>resistance compensation; dynamic mesh; ultra-long tunnel; simplified model; unsteady airflow</t>
  </si>
  <si>
    <t>ENERGY-CONSUMPTION; SMOKE; STATION; SPEED</t>
  </si>
  <si>
    <t>With the expansion of tunnel construction scale, accurate modeling of 3D unsteady flow fields in ultra-long tunnels requires high computational resources. In this study, a resistance compensation method based on the St and Eu similarity criterion is proposed to construct the simplified model to rapidly and precisely replicate the train-driven unstable airflow. A 6000 m ultra-long tunnel is utilized as a reference model and simplified models with the scale ratio varying from 80% to 10% are developed to assess the method performance. The multi-region dynamic mesh model is employed to simulate train tracking motion. After weighing the computational accuracy and efficiency, the results show that 20% is the optimal scale ratio. The unsteady wind speed of the simplified model deviates 6.96% from the reference model, while the simulation computation time is reduced by 85.01%. On this basis, the simplified model is applied to analyze the impacts of tunnel friction coefficients, blockage rates, train lengths and speeds, and departure intervals. The mean bias error (MBE) and Pearson correlation coefficient (PCC) are within 10% and over 0.8 respectively, confirming the reliability of the simplified model. The resistance compensation method is a crucial technique to improve the accuracy and efficiency of the unsteady flow field in ultra-long tunnels.</t>
  </si>
  <si>
    <t>[Fan, Xianwang; Zhang, Huan; Wan, Zhihao; Liu, Zhikai; Yang, Junbin; Liu, Sujie; Pu, Jiaxuan; Wang, Zhaoying; Jiang, Yan; You, Shijun; Zheng, Wandong] Tianjin Univ, Sch Environm Sci &amp; Engn, Tianjin 300350, Peoples R China; [Liu, Jiali] CSCEC Southwest Consulting Co Ltd, Chengdu 610041, Sichuan, Peoples R China; [Wu, Zhangxiang] Tsinghua Univ, Sch Architecture, Beijing 100084, Peoples R China</t>
  </si>
  <si>
    <t>Tianjin University; Tsinghua University</t>
  </si>
  <si>
    <t>Zheng, WD (corresponding author), Tianjin Univ, Sch Environm Sci &amp; Engn, Tianjin 300350, Peoples R China.</t>
  </si>
  <si>
    <t>wdzheng@tju.edu.cn</t>
  </si>
  <si>
    <t>10.1007/s12273-024-1164-z</t>
  </si>
  <si>
    <t>WOS:001324502700002</t>
  </si>
  <si>
    <t>Xu, S; Yang, H; Zhang, RP; Wang, MH; Mendis, T; Long, Y; Li, GM</t>
  </si>
  <si>
    <t>Xu, Shen; Yang, Han; Zhang, Rongpeng; Wang, Minghao; Mendis, Thushini; Long, Ying; Li, Gaomei</t>
  </si>
  <si>
    <t>Analysis of synergistic influence of multi-scale design parameters on nearly-zero energy office blocks performance based on architectural morphological classification and parametric modeling</t>
  </si>
  <si>
    <t>nearly-zero energy; office blocks; multi-scale design parameters; synergistic influence; energy consumption; PV power generation potential</t>
  </si>
  <si>
    <t>IMPACT; AREA; HOT</t>
  </si>
  <si>
    <t>Design parameters at different scales in the pre-design phase could significantly impact both building energy consumption and photovoltaic (PV) power generation potential. However, existing studies often overlook the synergistic effects of design parameters across multiple scales (block-building-facade scales) when evaluating these aspects. This paper aims to propose a workflow for the assessing building energy consumption and PV power generation potential of office blocks applicable in the pre-schematic design phase considering the synergistic influence of multi-scale design parameters, using building typology and parametric modelling approach. The study proposed a multi-scale design parameter classification system combined with parametric modelling. The study investigated 80 office blocks in Wuhan as the study case, which were classified into array type and enclosed type. Correlation analysis and multiple regression equations were used to quantify the single versus synergistic effects of different scale design parameters. Results suggest that focusing solely on a single scale during the pre-design stage is typically inadequate for understanding building energy potential. In contrast, multi-scale synergistic analysis boosts energy use intensity (EUI) by 7.56% and net energy use intensity (NEUI) by 33.96%. Under multi-scale synergistic conditions, the EUI of array type is more influenced by the building design parameters, while the NEUI is effected by the balance of multi-scales design parameters. While the EUI of enclosed types exhibit balanced effects across multi-scale design parameters, with NEUI results aligning closely with PV power generation potential. Multiple regression equations highlight building density and shape factor as key influencers for both array and enclosure layouts. This study offers designers a flexible and scalable workflow for evaluating building energy consumption and PV power generation potential in the pre-design phase. The findings can guide nearly-zero energy urban block planning to achieve a balance between energy supply and demand.</t>
  </si>
  <si>
    <t>[Xu, Shen; Yang, Han; Wang, Minghao; Li, Gaomei] Huazhong Univ Sci &amp; Technol, Sch Architecture &amp; Urban Planning, Wuhan 430074, Peoples R China; [Xu, Shen] South China Univ Technol, State Key Lab Subtrop Bldg &amp; Urban Sci, Guangzhou 510641, Peoples R China; [Xu, Shen; Wang, Minghao; Li, Gaomei] Hubei New Urbanizat Engn &amp; Technol Res Ctr, Wuhan 430074, Peoples R China; [Zhang, Rongpeng] Hunan Univ, Sch Architecture &amp; Planning, Changsha 410082, Peoples R China; [Mendis, Thushini] Univ Nottingham, Dept Architecture &amp; Built Environm, Ningbo, Peoples R China; [Long, Ying] Tsinghua Univ, Sch Architecture, Beijing 100084, Peoples R China</t>
  </si>
  <si>
    <t>Huazhong University of Science &amp; Technology; South China University of Technology; Hunan University; University of Nottingham Ningbo China; Tsinghua University</t>
  </si>
  <si>
    <t>Li, GM (corresponding author), Huazhong Univ Sci &amp; Technol, Sch Architecture &amp; Urban Planning, Wuhan 430074, Peoples R China.;Li, GM (corresponding author), Hubei New Urbanizat Engn &amp; Technol Res Ctr, Wuhan 430074, Peoples R China.</t>
  </si>
  <si>
    <t>li_gm@hust.edu.cn</t>
  </si>
  <si>
    <t>10.1007/s12273-024-1156-z</t>
  </si>
  <si>
    <t>WOS:001316831500001</t>
  </si>
  <si>
    <t>Mendes, VF; Cruz, AS; Gomes, AP; Mendes, JC</t>
  </si>
  <si>
    <t>Mendes, Vitor Freitas; Cruz, Alexandre Santana; Gomes, Adriano Pinto; Mendes, Julia Castro</t>
  </si>
  <si>
    <t>Exploring the impact of evaluation methods on Global South building design-A case study in Brazil</t>
  </si>
  <si>
    <t>energy efficiency; energy simulation; EnergyPlus; thermal load; degree-hour; design days</t>
  </si>
  <si>
    <t>THERMAL PERFORMANCE; ENERGY DEMAND; CLIMATE; ENVELOPE; SYSTEM</t>
  </si>
  <si>
    <t>Energy simulation is a valuable tool for evaluating and improving the thermal performance and energy efficiency of buildings during the design phase. Common evaluation methods are thermal load (TL), degree-hour (DH), and design days (DD). The choice of method and its settings may vary depending on regional factors and researchers' preferences, leading to diverse and often incompatible metrics and results. Therefore, this study aims to investigate the influence of these evaluation methods on the assessment of buildings' performance and, consequently, on design choices. For this purpose, this study compared the results of the 3 evaluation methods and different settings for 3 different wall systems, 4 ranges of comfort temperature, and 2 residential models located in the 8 Brazilian bioclimatic zones. As result, the best and worst wall systems varied depending on the evaluation method and the threshold / setpoint temperature range considered. Warmer regions showed greater variability in the results. We noticed that it is not possible to compare and interpret results from different evaluation methods, and that the variation of only 1 degrees C in the setpoint temperatures can lead to entirely different practices being considered the best for a given building model. In conclusion, the most suitable evaluation method is the one that best portrays the operation and dynamic reality of the building to be designed, and building regulations and standards can occasionally lead to unrealistic assessments.</t>
  </si>
  <si>
    <t>[Mendes, Vitor Freitas; Mendes, Julia Castro] Univ Fed Ouro Preto UFOP, Programa Posgrad Engn Civil PROPEC, BR-35400000 Ouro Preto, MG, Brazil; [Mendes, Vitor Freitas] Inst Fed Educ Ciencia &amp; Tecnol Minas Gerais IFMG C, BR-33115390 Santa Luzia, MG, Brazil; [Cruz, Alexandre Santana] Univ Fed Rio De Janeiro UFRJ, Programa Posgrad Arquitetura PROARQ, BR-21941972 Rio De Janeiro, RJ, Brazil; [Gomes, Adriano Pinto] Inst Fed Minas Gerais IFMG Campus Ouro Preto, Area Desenho &amp; Projeto, BR-35400000 Ouro Preto, MG, Brazil; [Mendes, Julia Castro] Univ Fed Juiz De Fora UFJF, Programa Posgrad Engn Civil PEC, BR-36036900 Juiz De Fora, MG, Brazil</t>
  </si>
  <si>
    <t>Universidade Federal do Rio de Janeiro; Universidade Federal de Juiz de Fora</t>
  </si>
  <si>
    <t>Mendes, VF (corresponding author), Univ Fed Ouro Preto UFOP, Programa Posgrad Engn Civil PROPEC, BR-35400000 Ouro Preto, MG, Brazil.;Mendes, VF (corresponding author), Inst Fed Educ Ciencia &amp; Tecnol Minas Gerais IFMG C, BR-33115390 Santa Luzia, MG, Brazil.</t>
  </si>
  <si>
    <t>vitor.mendes@aluno.ufop.edu.br</t>
  </si>
  <si>
    <t>10.1007/s12273-024-1160-3</t>
  </si>
  <si>
    <t>WOS:001309994200001</t>
  </si>
  <si>
    <t>Dang, XY; Janssen, H; Roels, S</t>
  </si>
  <si>
    <t>Dang, Xinyuan; Janssen, Hans; Roels, Staf</t>
  </si>
  <si>
    <t>A comprehensive benchmark dataset for the validation of building component heat, air, and moisture (HAM) models</t>
  </si>
  <si>
    <t>heat, air, and moisture (HAM); hygrothermal response; dataset; model; simulation; validation</t>
  </si>
  <si>
    <t>EXPERIMENTAL-DATA SET; HYGROTHERMAL SIMULATIONS; WALL ASSEMBLIES; SENSITIVITY-ANALYSIS; TRANSIENT HEAT; PART I; PERFORMANCE; BEHAVIOR; DAMAGE; 1-D</t>
  </si>
  <si>
    <t>Numerical heat, air and moisture (HAM) modeling allows predicting hygrothermal responses of building components with higher efficiency and less effort than laboratory experiments and field measurements. However, inaccuracy and/or incorrectness may appear in the predictions for the same case through different HAM models, primarily due to limitations or deviations in the description of physical phenomena and/or the implementation of mathematical algorithms. User preferences, biases, and/or mistakes with respect to implementing material properties, boundary conditions and other factors may also yield disparity. While a correct implementation of the numerical models is typically verified by the developers, the validity of the HAM models may remain questionable without the confrontation with experimental datasets. However, well-determined criteria and well-documented datasets for establishing the correct prediction of the transient hygrothermal responses of building components by HAM models remain very scarce. To address this issue, a dedicated benchmark experiment was conducted in the hot box-cold box (HB-CB) setup at KU Leuven, Belgium, on four wall assemblies composed of calcium silicate board, mineral wool, wood fiber board, and vapour barrier in different orders. Temperature, relative humidity, heat fluxes and moisture masses, as hygrothermal responses, were monitored under quasi-steady state boundary conditions. Full-scale characterization of the materials from the same batch was performed, along with a determination of the surface transport coefficients within the HB-CB setup. This comprehensive dataset allows a proper model validation by incorporating experimental datasets of material properties and surface transport coefficients and by confronting simulated hygrothermal responses with experimental evidence. In addition, sensitivity analysis can be performed to obtain insights into the impact of uncertainties in characterizing material properties on hygrothermal simulation predictions.</t>
  </si>
  <si>
    <t>[Dang, Xinyuan; Janssen, Hans; Roels, Staf] Katholieke Univ Leuven, Dept Civil Engn, B-3001 Leuven, Belgium</t>
  </si>
  <si>
    <t>Dang, XY (corresponding author), Katholieke Univ Leuven, Dept Civil Engn, B-3001 Leuven, Belgium.</t>
  </si>
  <si>
    <t>dangxinyuan1994@gmail.com</t>
  </si>
  <si>
    <t>10.1007/s12273-024-1176-8</t>
  </si>
  <si>
    <t>WOS:001299746700002</t>
  </si>
  <si>
    <t>Chen, JX; An, JJ; Yan, D; Zhou, X</t>
  </si>
  <si>
    <t>Chen, Jiaxin; An, Jingjing; Yan, Da; Zhou, Xin</t>
  </si>
  <si>
    <t>Future trends in intelligent lighting control systems: Integrated technologies, multi-system linkage and AI integration</t>
  </si>
  <si>
    <t>building energy efficiency; intelligent lighting; occupancy detection; illumination detection; control strategy</t>
  </si>
  <si>
    <t>OCCUPANCY DETECTION; ENERGY EFFICIENCY; SENSOR; OFFICE; DRIVEN; SATISFACTION; RECOGNITION; BUILDINGS; ALGORITHM; ACTUATION</t>
  </si>
  <si>
    <t>Lighting energy consumption accounts for a considerable proportion of the total electricity consumption of a building; therefore, the lighting system of a building has great potential for energy saving. With the development of technology, intelligent lighting control systems are widely used in buildings and have good energy-saving effects. Previous reviews of intelligent lighting control systems have analyzed the research progress, advantages, and limitations of a single technology in depth, but have not yet summarized the combination of various technologies and the scope of application. Therefore, this study starts from the components of intelligent lighting control system and focuses on the data acquisition module and control module. Researches on these two modules are analyzed from the aspects of multi-technology combination, combination with artificial intelligence and multi-system considerations, and the application scope and limitations of the related technologies are summarized to provide references for future engineering practice. Finally, based on the development overview of current research, this study explores research directions that can be further expanded in intelligent lighting control systems to handle future development trends.</t>
  </si>
  <si>
    <t>[Chen, Jiaxin; Zhou, Xin] Southeast Univ, Sch Architecture, Nanjing 210096, Jiangsu, Peoples R China; [An, Jingjing] Beijing Univ Civil Engn &amp; Architecture, Sch Environm &amp; Energy Engn, Beijing 100084, Peoples R China; [Yan, Da] Tsinghua Univ, Sch Architecture, Beijing 100084, Peoples R China</t>
  </si>
  <si>
    <t>10.1007/s12273-024-1209-3</t>
  </si>
  <si>
    <t>NOV 2024</t>
  </si>
  <si>
    <t>WOS:001356428200001</t>
  </si>
  <si>
    <t>Zhong, X; Zhao, LH; Ren, P; Teng, YJ; Zhang, X</t>
  </si>
  <si>
    <t>Zhong, Xue; Zhao, Lihua; Ren, Peng; Teng, Yuanjian; Zhang, Xiang</t>
  </si>
  <si>
    <t>Inequalities in urban thermal and greenspace exposures: A case study for China's Greater Bay Area from 2010 to 2020</t>
  </si>
  <si>
    <t>exposure inequality; land surface coolness index (LSCI); normalized difference vegetation index (NDVI); spatiotemporal variation; Greater Bay Area (GBA)</t>
  </si>
  <si>
    <t>HEAT-ISLAND; ENERGY-CONSUMPTION; MITIGATION; CLIMATE; IMPACT; URBANIZATION; COMFORT; HEALTH; CITY</t>
  </si>
  <si>
    <t>The interaction between humans and their environment significantly impacts the health of urban residents. However, there is limited research on assessing the spatiotemporal variations of human thermal exposure as well as inequalities and their relationships with greenspace based on remote sensing data, especially in developing countries. This study offers a framework utilizing pixel-wise data on land surface coolness index (LSCI), normalized difference vegetation index (NDVI), and population metrics to evaluate population-weighted thermal and greenspace exposures in China's Greater Bay Area (GBA) over eleven years (2010-2020). It further examines thermal exposure inequality using the Gini index and explores both natural and socio-economical drivers of thermal exposure and its inequality. The results indicate an increasing trend of cities within the GBA being experiencing detrimental thermal conditions. Over the study period, the proportion of cities with high exposure to LSCI and NDVI exhibited a general decline. Approximately 63.6% of major cities observed growing imbalances in LSCI and NDVI exposures over eleven years. Notably, there were positive correlations between NDVI exposure and LSCI exposure, along with their associated inequalities. Moreover, coastal cities characterized by lower elevations, higher precipitation rates, and rapid economic growth experienced higher levels of LSCI and NDVI exposures yet these cities also demonstrated greater disparities.</t>
  </si>
  <si>
    <t>[Zhong, Xue; Zhao, Lihua; Ren, Peng] South China Univ Technol, Dept Architecture, State Key Lab Subtrop Bldg &amp; Urban Sci, Guangzhou 510640, Peoples R China; [Teng, Yuanjian] Peking Univ, Inst Remote Sensing &amp; Geog Informat Syst, Sch Earth &amp; Space Sci, Beijing 100871, Peoples R China; [Zhang, Xiang] Tech Univ Munich, Chair Strateg Landscape Planning &amp; Management, Sch Life Sci Weihenstephan, Emil Ramann Str 6, D-85354 Freising Weihenstephan, Germany</t>
  </si>
  <si>
    <t>South China University of Technology; Peking University; Technical University of Munich</t>
  </si>
  <si>
    <t>Ren, P (corresponding author), South China Univ Technol, Dept Architecture, State Key Lab Subtrop Bldg &amp; Urban Sci, Guangzhou 510640, Peoples R China.</t>
  </si>
  <si>
    <t>arpren@scut.edu.cn</t>
  </si>
  <si>
    <t>10.1007/s12273-024-1180-z</t>
  </si>
  <si>
    <t>WOS:001334459700001</t>
  </si>
  <si>
    <t>Gong, FF; Gao, Y; Tian, XY; Wang, J; Ji, J; Shi, F; Hong, XQ</t>
  </si>
  <si>
    <t>Gong, Fangfang; Gao, Yuan; Tian, Xinyi; Wang, Jun; Ji, Jie; Shi, Feng; Hong, Xiaoqiang</t>
  </si>
  <si>
    <t>Simulation of a novel curved photovoltaic (PV) window improving the annual daylighting and building energy performance simultaneously</t>
  </si>
  <si>
    <t>BIPV; curved PV; PV window; building performance</t>
  </si>
  <si>
    <t>THERMAL PERFORMANCE; PARAMETERS EXTRACTION; SOLAR-CELLS; SEMITRANSPARENT; BIPV; FACADES; DEVICES; DESIGN; SYSTEM</t>
  </si>
  <si>
    <t>Building integrated photovoltaic (BIPV) windows impact building performance by balancing daylighting availability, visual comfort, solar power generation, and building energy consumption. Optimizing this balance is crucial for improving overall building energy efficiency and indoor environment quality. This study introduces a novel curved photovoltaic window design aimed at increasing daylight transmittance while maintaining the same photovoltaic area as a flat PV window. The annual daylighting availability, visual comfort and building energy performance of three types of flat/curved PV windows (180 degrees, 120 degrees, 0 degrees-flat) in a reference office room was comparatively studied across five different climate zones in China (Xiamen, Harbin, Nanjing, Kunming, and Beijing). The PV model was validated by the experimental data. The results showed that the room with curved PV windows had significantly higher daylighting availability compared to flat windows, with the growth rates of the spatial useful daylight illuminance ranging of 3.94%-4.78% and 5.56%-5.94%, respectively, for the curved PV windows at central angles of 120 degrees and 180 degrees across different climate zones. The 120 degrees curved PV windows achieved the lowest net energy used intensity (Net_EUI), suggesting the advantages of curved PV windows and proposed the existence of an optimal curvature for achieving the lowest Net_EUI.</t>
  </si>
  <si>
    <t>[Gong, Fangfang; Gao, Yuan; Shi, Feng; Hong, Xiaoqiang] Xiamen Univ, Fujian Prov Univ Key Lab Intelligent &amp; Low Carbon, Sch Architecture &amp; Civil Engn, Xiamen 361005, Fujian, Peoples R China; [Shi, Feng; Hong, Xiaoqiang] Xiamen Univ, Fujian Key Lab Digital Simulat Coastal Civil Engn, Xiamen 361005, Fujian, Peoples R China; [Shi, Feng; Hong, Xiaoqiang] Xiamen Key Lab Integrated Applicat Intelligent Tec, Xiamen 361005, Peoples R China; [Tian, Xinyi; Ji, Jie] Univ Sci &amp; Technol China, Dept Thermal Sci &amp; Energy Engn, Hefei 230026, Anhui, Peoples R China; [Wang, Jun] Anhui Jianzhu Univ, Sch Environm &amp; Energy Engn, Hefei 230026, Anhui, Peoples R China</t>
  </si>
  <si>
    <t>Xiamen University; Xiamen University; Chinese Academy of Sciences; University of Science &amp; Technology of China, CAS; Anhui Jianzhu University</t>
  </si>
  <si>
    <t>Hong, XQ (corresponding author), Xiamen Univ, Fujian Prov Univ Key Lab Intelligent &amp; Low Carbon, Sch Architecture &amp; Civil Engn, Xiamen 361005, Fujian, Peoples R China.;Hong, XQ (corresponding author), Xiamen Univ, Fujian Key Lab Digital Simulat Coastal Civil Engn, Xiamen 361005, Fujian, Peoples R China.;Hong, XQ (corresponding author), Xiamen Key Lab Integrated Applicat Intelligent Tec, Xiamen 361005, Peoples R China.</t>
  </si>
  <si>
    <t>hongxq@xmu.edu.cn</t>
  </si>
  <si>
    <t>10.1007/s12273-024-1173-y</t>
  </si>
  <si>
    <t>WOS:001302293900001</t>
  </si>
  <si>
    <t>Jiang, JH; Zhang, X; Liu, J; Sun, YJ; Zhang, S; Wang, FH</t>
  </si>
  <si>
    <t>Jiang, Jinghua; Zhang, Xia; Liu, Jun; Sun, Yongjun; Zhang, Sheng; Wang, Fenghao</t>
  </si>
  <si>
    <t>Mitigation of long-term heat extraction attenuation of U-type medium-deep borehole heat exchanger by climate change</t>
  </si>
  <si>
    <t>medium-deep borehole heat exchanger; U-type; climate change; heat extraction attenuation; long-term thermal performance</t>
  </si>
  <si>
    <t>TRANSFER PERFORMANCE; THERMAL PERFORMANCE; BEND PIPE; SUSTAINABILITY; SUBSURFACE; PARAMETERS; EFFICIENCY; BUILDINGS; ZONES</t>
  </si>
  <si>
    <t>U-type medium-deep borehole heat exchanger (U-MDBHE) is a sustainable building heating technology. Current studies assess the long-term thermal performance of U-MDBHE using typical meteorological year weather data. The conclusions indicate a discernible deterioration in the thermal performance of U-MDBHE attributed to heat extraction attenuation. The thermal performance deterioration leads to the oversize of U-MDBHE and hinders the widespread application of U-MDBHE. This study introduces a novel idea that the long-term thermal performance of U-MDBHE should be evaluated considering climate change (CC) and verifies that the favorable effects of CC on the thermal performance of U-MDBHE can effectively mitigate the adverse effect of heat extraction attenuation. The favorable effects of CC include reducing the heating demand (due to the reduced building heating load (BHL) caused by CC) and improving the heating supply capacity (due to the enhanced outlet temperature caused by CC). In addition, the reduced BHL under CC enhances the inlet temperature of U-MDBHE, thereby improving its operation safety. CC mitigates the heat extraction attenuation of U-MDBHE, with the strongest effect in the ascending well, followed by the descending well, and then the butted well. Case studies using experimentally validated simulations on the 30-year operation of U-MDBHE demonstrate that by mitigating the adverse effect of the heat extraction attenuation, CC reduces the accumulated energy consumption by 14.31%-26.59% and improves the operation safety by up to 100% in Harbin (severe cold region) and Beijing (cold region). This study significantly contributes to improving the long-term thermal performance of U-MDBHE.</t>
  </si>
  <si>
    <t>[Jiang, Jinghua; Zhang, Xia; Zhang, Sheng; Wang, Fenghao] Xi An Jiao Tong Univ, Sch Human Settlements &amp; Civil Engn, Xian, Peoples R China; [Liu, Jun] Shaanxi Coal Geol Grp Co Ltd, Key Lab Coal Resources Explorat &amp; Comprehens Utili, Minist Nat Resources, Xian, Peoples R China; [Sun, Yongjun] City Univ Hong Kong, Dept Architecture &amp; Civil Engn, Hong Kong, Peoples R China</t>
  </si>
  <si>
    <t>Xi'an Jiaotong University; Ministry of Natural Resources of the People's Republic of China; City University of Hong Kong</t>
  </si>
  <si>
    <t>Zhang, S (corresponding author), Xi An Jiao Tong Univ, Sch Human Settlements &amp; Civil Engn, Xian, Peoples R China.</t>
  </si>
  <si>
    <t>shezhang@xjtu.edu.cn</t>
  </si>
  <si>
    <t>10.1007/s12273-024-1177-7</t>
  </si>
  <si>
    <t>WOS:001308287900001</t>
  </si>
  <si>
    <t>Zhou, XQ; Tang, TW; Feng, XW; Gao, NP; Yang, YP; Fang, ZS</t>
  </si>
  <si>
    <t>Zhou, Xiaoqing; Tang, Tianwei; Feng, Xiwen; Gao, Naiping; Yang, Yanping; Fang, Zhaosong</t>
  </si>
  <si>
    <t>Developing a method for calculating the mean outdoor radiant temperature for thermal stress in Guangzhou</t>
  </si>
  <si>
    <t>mean radiant temperature; outdoor thermal environment; solar radiation; ground-cover surface; six-direction integral method</t>
  </si>
  <si>
    <t>GLOBAL SOLAR-RADIATION; SUPPORT VECTOR MACHINE; SUNSHINE DURATION; EMPIRICAL-MODELS; URBAN SPACES; COMFORT; MICROCLIMATE; UTCI; AIR; HOT</t>
  </si>
  <si>
    <t>Cities around the world are exposed to increasing heat stress as a result of the heat island effect exacerbated by extreme weather events, population growth and increased urbanization. To promote outdoor activities and protect human health, there is an urgent need for a tool to assess the outdoor thermal environment. While the air temperature (Ta) and relative humidity (RH) are usually available from weather stations, but the mean radiant temperature (MRT) cannot. The MRT is a key variable in determining outdoor thermal comfort. Therefore, it is necessary to develop a simple and accurate method for calculating MRT, in order to compute the corresponding thermal indices, which can be used to assess the thermal environment more accurately. This study was conducted at a university in Guangzhou, China. Four different ground-cover surfaces (concrete, asphalt, lawn, and granite) were selected for study. The Ta, black-globe temperature (Tg), long-wave (L), and short-wave (K) radiation in six directions, and wind speeds (Va) were measured under unshaded conditions. The MRT obtained by the six-direction integral method was used as the base value and regression analyses were performed with Ta, K down arrow (downward short-wave), and Va. In addition, the six indices-significance (P), linear regression coefficient (R2), consistency index (d), root mean square error (RMSE), mean bias error (MBE), and mean absolute error (MAE)-were used for quantitative analysis to explore the feasibility of this method. This study compared five calculation models on MRT: MRTSDIM (six-direction integral method), MRTBGTM-Va-0.1Hz (black-globe thermometer method, 0.1 Hz wind speed measurement frequency), MRTBGTM-Va-10Hz (black-globe thermometer method, 10 Hz wind speed measurement frequency), MRTBGTM-P (polynomial regression based on black-globe thermometer method), and MRTSDIM-P (polynomial regression based on six-direction integral method). The MRTSDIM was used as a baseline value, and the values obtained by other four methods were discussed and validated separately. The results show that the calculation model about MRTSDIM-P has a relatively minimal error with the values &lt;= 5 degrees C, which satisfies the accuracy requirements for thermal stress. Finally, the data from each area weather station were substituted into the model and compared with the actual measurement days, and the monthly mean and maximum universal thermal climate index (UTCI) were calculated for the entire Guangzhou daytime in 2022. The results obtained from the weather station data calculations fit well with the measured data. Consequently, this study provides a simple method of calculation for outdoor mean radiant temperature. Further, based on the calculated thermal indices, recommendations can be provided for outdoor work and activities.</t>
  </si>
  <si>
    <t>[Zhou, Xiaoqing; Tang, Tianwei; Feng, Xiwen; Yang, Yanping; Fang, Zhaosong] Guangzhou Univ, Sch Civil Engn &amp; Transportat, Guangzhou 510006, Peoples R China; [Gao, Naiping] Tongji Univ, Sch Mech Engn, Shanghai 200092, Peoples R China</t>
  </si>
  <si>
    <t>Guangzhou University; Tongji University</t>
  </si>
  <si>
    <t>Fang, ZS (corresponding author), Guangzhou Univ, Sch Civil Engn &amp; Transportat, Guangzhou 510006, Peoples R China.</t>
  </si>
  <si>
    <t>zhaosong0102@gzhu.edu.cn</t>
  </si>
  <si>
    <t>NOV</t>
    <phoneticPr fontId="2" type="noConversion"/>
  </si>
  <si>
    <t>10.1007/s12273-024-1168-8</t>
  </si>
  <si>
    <t>WOS:001329819700001</t>
  </si>
  <si>
    <t>Yang, M; Ye, J; Yu, T; Song, Y; Qian, H; Liu, TY; Chen, Y; Wang, JQ; Cao, SJ; Liu, C</t>
  </si>
  <si>
    <t>Yang, Meng; Ye, Jin; Yu, Tao; Song, Ying; Qian, Hua; Liu, Tianyi; Chen, Yang; Wang, Junqi; Cao, Shi-jie; Liu, Cong</t>
  </si>
  <si>
    <t>Smartphone-based colorimetric detection of formaldehyde in the air</t>
  </si>
  <si>
    <t>indoor air quality; VOC; RGB; color identification; machine vision</t>
  </si>
  <si>
    <t>PLATFORM; PAPER</t>
  </si>
  <si>
    <t>Adverse impacts of exposure to formaldehyde on human health significantly increases attention in monitoring formaldehyde concentrations in the air. Conventional formaldehyde detection methods typically rely on large and costly instruments and requires high skills of expertise, preventing it from being widely accessible to civilians. This study introduced a novel approach utilizing smartphone-based colorimetric analysis. Changes of green channel signals of digital images by a smartphone successfully capture variation of purple color of 4-amino-3-hydrazino-5-mercapto-1,2,4-triazol solution, which is proportional to formaldehyde concentrations. It is because that green and purple are complimentary color pairs. A calibration curve was established between green channel signals and formaldehyde concentrations, with a correlation coefficient of 0.98. Detection limit of the smartphone-based method is 0.008 mg/m3. Measurement errors decrease as formaldehyde concentrations increase, with median relative errors of 34%, 17%, and 6% for concentration ranges of 0-0.06 mg/m3, 0.06-0.12 mg/m3, and 0.12-0.35 mg/m3, respectively. This method replaced scientific instrumentation with ordinary items, greatly reducing cost and operation bars. It would provide an opportunity to realize onsite measurements for formaldehyde by occupants themselves and increase awareness of air quality for better health protection.</t>
  </si>
  <si>
    <t>[Yang, Meng; Qian, Hua; Liu, Cong] Southeast Univ, Sch Energy &amp; Environm, Nanjing 210096, Peoples R China; [Ye, Jin] Jiangsu Univ Sci &amp; Technol, Sch Energy &amp; Power, Zhenjiang 212100, Jiangsu, Peoples R China; [Yu, Tao] Wuhan Second Ship Design &amp; Res Inst, Wuhan 430205, Peoples R China; [Song, Ying] Hubei Prov Inst Food Supervis &amp; Test, Hubei Prov Engn &amp; Technol Res Ctr Food Qual &amp; Safe, Wuhan 430075, Peoples R China; [Liu, Tianyi; Chen, Yang] Southeast Univ, Sch Comp Sci &amp; Engn, Lab Image Sci &amp; Technol, Nanjing, Peoples R China; [Chen, Yang] Southeast Univ, Jiangsu Prov Joint Int Res Lab Med Informat Proc, Nanjing, Peoples R China; [Chen, Yang] Southeast Univ, Sch Cyber Sci Engn, Nanjing, Peoples R China; [Chen, Yang] Southeast Univ, Key Lab Comp Network &amp; Informat Integrat, Minist Educ, Nanjing, Peoples R China; [Wang, Junqi; Cao, Shi-jie] Southeast Univ, Sch Architecture, Nanjing, Peoples R China; [Wang, Junqi; Cao, Shi-jie; Liu, Cong] Southeast Univ, Jiangsu Prov Engn Res Ctr Urban Heat &amp; Pollut Cont, Nanjing, Peoples R China; [Cao, Shi-jie] Univ Surrey, Global Ctr Clean Air Res GCARE, Guildford, England</t>
  </si>
  <si>
    <t>Southeast University - China; Jiangsu University of Science &amp; Technology; Southeast University - China; Southeast University - China; Southeast University - China; Southeast University - China; Southeast University - China; Southeast University - China; University of Surrey</t>
  </si>
  <si>
    <t>Liu, C (corresponding author), Southeast Univ, Sch Energy &amp; Environm, Nanjing 210096, Peoples R China.;Liu, C (corresponding author), Southeast Univ, Jiangsu Prov Engn Res Ctr Urban Heat &amp; Pollut Cont, Nanjing, Peoples R China.</t>
  </si>
  <si>
    <t>liuc@seu.edu.cn</t>
  </si>
  <si>
    <t>10.1007/s12273-024-1172-z</t>
  </si>
  <si>
    <t>WOS:001303745500001</t>
  </si>
  <si>
    <t>Liu, K; Xu, XD; Zhang, R; Kong, LY; Wang, X; Lin, DQ</t>
  </si>
  <si>
    <t>Liu, Ke; Xu, Xiaodong; Zhang, Ran; Kong, Lingyu; Wang, Xi; Lin, Deqing</t>
  </si>
  <si>
    <t>An integrated framework utilizing machine learning to accelerate the optimization of energy-efficient urban block forms</t>
  </si>
  <si>
    <t>urban form; machine learning; XGBoost algorithm; multi-objective optimization; performance-driven urban design; urban building energy modeling</t>
  </si>
  <si>
    <t>BUILDING NETWORK; PERFORMANCE; MORPHOLOGY; TYPOLOGY; CONSUMPTION; DENSITY</t>
  </si>
  <si>
    <t>Urban block form significantly impacts energy and environmental performance. Therefore, optimizing urban block design in the early stages contributes to enhancing urban energy efficiency and environmental sustainability. However, widely used multi-objective optimization methods based on performance simulation face the challenges of high computational loads and low efficiency. This study introduces a framework using machine learning, especially the XGBoost model, to accelerate multi-objective optimization of energy-efficient urban block forms. A residential block in Nanjing serves as the case study. The framework commences with a parametric block form model driven by design variables, focusing on minimizing building energy consumption (EUI), maximizing photovoltaic energy generation (PVE) and outdoor sunlight hours (SH). Data generated through Latin Hypercube Sampling and performance simulations inform the model training. Through training and hyperparameter tuning, XGBoost's predictive accuracy was validated against artificial neural network (ANN), support vector machine (SVM), and random forest (RF) models. Subsequently, XGBoost replaced traditional performance simulations, conducting multi-objective optimization via the NSGA-II algorithm. Results showcase the framework's significant acceleration of the optimization process, improving computational efficiency by over 420 times and producing 185 Pareto optimal solutions with improved performance metrics. SHAP analysis highlighted shape factor (SF), building density (BD), and building orientation (BO) as key morphological parameters influencing EUI, PVE, and SH. This study presents an efficient approach to energy-efficient urban block design, contributing valuable insights for sustainable urban development.</t>
  </si>
  <si>
    <t>[Liu, Ke; Xu, Xiaodong; Zhang, Ran; Kong, Lingyu; Wang, Xi; Lin, Deqing] Southeast Univ, Sch Architecture, Sipailou 2, Nanjing 210096, Jiangsu, Peoples R China</t>
  </si>
  <si>
    <t>Southeast University - China</t>
  </si>
  <si>
    <t>Xu, XD (corresponding author), Southeast Univ, Sch Architecture, Sipailou 2, Nanjing 210096, Jiangsu, Peoples R China.</t>
  </si>
  <si>
    <t>xuxiaodong@seu.edu.cn</t>
  </si>
  <si>
    <t>10.1007/s12273-024-1174-x</t>
  </si>
  <si>
    <t>WOS:001312632700001</t>
  </si>
  <si>
    <t>Li, PX; Zhao, XJ; Gao, NP; Luo, MH; Shi, X</t>
  </si>
  <si>
    <t>Li, Peixian; Zhao, Xiangjun; Gao, Naiping; Luo, Maohui; Shi, Xing</t>
  </si>
  <si>
    <t>Influencing factors of long-term thermal comfort in office buildings</t>
  </si>
  <si>
    <t>thermal comfort; cognitive bias; subject evaluation; long-term monitoring; correlation</t>
  </si>
  <si>
    <t>BIAS; ENVIRONMENT; ADAPTATION; EXPOSURE; IMPACT</t>
  </si>
  <si>
    <t>While previous research has explored factors influencing point-in-time thermal comfort, the mechanisms behind long-term thermal comfort remain elusive. This study utilized cognitive psychology theory to identify factors influencing long-term thermal comfort through statistical analyses of surveys across China and physical measurements in three Shanghai offices. Six of the 17 investigated factors exhibited strong linear relationships with long-term thermal comfort. The findings confirmed the existence of the Primacy Effect, Perceptual Bias, Recency Bias, and Peak-End Rule in long-term thermal evaluation, highlighting the impact of initial perceptions, past adverse experiences, and current comfort levels on one's long-term thermal comfort. The study also indicated that these cognitive biases are primarily psychological and independent of the physical environment. Factors such as age, gender, climate, and controllability, which affect short-term thermal comfort, did not significantly impact long-term comfort. This research is one of the earliest attempts to understand long-term thermal comfort, underscoring its complexity and providing valuable insights for building managers and researchers aiming to enhance thermal comfort in office settings.</t>
  </si>
  <si>
    <t>[Li, Peixian; Zhao, Xiangjun; Shi, Xing] Tongji Univ, Coll Architecture &amp; Urban Planning, Shanghai, Peoples R China; [Li, Peixian; Shi, Xing] Tongji Univ, Key Lab Ecol &amp; Energy Saving Study Dense Habitat, Minist Educ, Shanghai, Peoples R China; [Gao, Naiping; Luo, Maohui] Tongji Univ, Sch Mech Engn, Shanghai, Peoples R China</t>
  </si>
  <si>
    <t>Tongji University; Tongji University; Tongji University</t>
  </si>
  <si>
    <t>Shi, X (corresponding author), Tongji Univ, Coll Architecture &amp; Urban Planning, Shanghai, Peoples R China.;Shi, X (corresponding author), Tongji Univ, Key Lab Ecol &amp; Energy Saving Study Dense Habitat, Minist Educ, Shanghai, Peoples R China.</t>
  </si>
  <si>
    <t>20101@tongji.edu.cn</t>
  </si>
  <si>
    <t>10.1007/s12273-024-1179-5</t>
  </si>
  <si>
    <t>WOS:001316799000001</t>
  </si>
  <si>
    <t>Jiao, YH; Wei, HL; Wang, W; Zhang, MT</t>
  </si>
  <si>
    <t>Jiao, Yuanhao; Wei, Hailu; Wang, Wei; Zhang, Mengting</t>
  </si>
  <si>
    <t>Comparative study of development scenarios to decipher carbon emissions of new/old campuses in China with urban building energy model: A case study of Southeast University</t>
  </si>
  <si>
    <t>university campuses; carbon emission; urban building energy model; sustainable development; factor decomposition analysis</t>
  </si>
  <si>
    <t>GREENHOUSE-GAS EMISSIONS; PERFORMANCE; MITIGATION</t>
  </si>
  <si>
    <t>The students receiving higher education boosted a total increase of 416.45% in China in last 20 years, resulting in newly built campuses reaching over 4.4 billion m2. Therefore, implementing low-carbon development on university campuses is an important part of achieving carbon neutrality in China. In this study, the old and new campuses of Southeast University in China were selected and the Rhino Grasshopper tool was used to create and calibrate their energy model with real electricity data to ensure the 20% error range. The calibrated energy model was used to set up four base scenarios under different development paths in year 2030 and 2050, including natural development, campus construction, policy-oriented, and sustainable development. The simulation indicates that campus construction leads to the greatest increase in carbon emissions, with the old campus and new campus experiencing a 16.7% and 162.9% rise, respectively, compared to the current situation. In contrast, policy-oriented scenarios result in the most significant reduction in emissions, decreasing by 121.4% and 114.5% for each scenario, respectively. Only policy-driven approaches will enable both campuses to achieve carbon neutrality by 2050. The driving factor decomposition analysis indicates that in no-policy-intervention scenarios, the primary contributors to carbon emissions are short-term climate fluctuations and aging equipment. Conversely, in scenarios with government intervention, the pivotal elements are the implementation of renewable energy and the development of low-carbon technologies. The results of the static scenario combination show that the old campus has a significant lower average carbon emission of 7,080 t than 279,090 t of the new campus in 2050. However, the new campus shows higher potential, with a proportion of 38.3% achieving carbon neutrality in the combination results, compared to 17.2% for the old campus. The study results offer insights into the pathway for universities to achieve carbon neutrality, emphasizing the significance of policy direction and the adoption of renewable energy.</t>
  </si>
  <si>
    <t>[Jiao, Yuanhao; Wei, Hailu; Wang, Wei] Southeast Univ, Sch Architecture, Nanjing 210096, Jiangsu, Peoples R China; [Wang, Wei] Southeast Univ, Key Lab Urban &amp; Architectural Heritage Conservat, Minist Educ, Nanjing, Peoples R China; [Zhang, Mengting] City Univ Macau, Fac Innovat &amp; Design, Macau, Peoples R China</t>
  </si>
  <si>
    <t>Southeast University - China; Southeast University - China; City University of Macau</t>
  </si>
  <si>
    <t>Wang, W (corresponding author), Southeast Univ, Sch Architecture, Nanjing 210096, Jiangsu, Peoples R China.;Wang, W (corresponding author), Southeast Univ, Key Lab Urban &amp; Architectural Heritage Conservat, Minist Educ, Nanjing, Peoples R China.;Zhang, MT (corresponding author), City Univ Macau, Fac Innovat &amp; Design, Macau, Peoples R China.</t>
  </si>
  <si>
    <t>weiwang@seu.edu.cn; u21092120099@cityu.mo</t>
  </si>
  <si>
    <t>10.1007/s12273-024-1171-0</t>
  </si>
  <si>
    <t>WOS:001324503900001</t>
  </si>
  <si>
    <t>Zhu, ZW; Zhou, MR; Hu, F; Wang, K; Zhou, GY; Kong, WL; Hu, YJ; Cui, EH</t>
  </si>
  <si>
    <t>Zhu, Ziwei; Zhou, Mengran; Hu, Feng; Wang, Kun; Zhou, Guangyao; Kong, Weile; Hu, Yijie; Cui, Enhan</t>
  </si>
  <si>
    <t>TSILNet: A novel hybrid model for energy disaggregation based on two-stage improved TCN combined with IECA-LSTM</t>
  </si>
  <si>
    <t>deep learning; non-intrusive load monitoring (NILM); energy disaggregation; temporal convolutional network (TCN); attention mechanism; long short-term memory (LSTM)</t>
  </si>
  <si>
    <t>LOAD DISAGGREGATION; DEMAND; NETWORKS</t>
  </si>
  <si>
    <t>Non-intrusive load monitoring (NILM) technology aims to infer the operation information of electrical appliances from the total household load signals, which is of great significance for energy conservation and planning. However, existing methods are difficult to effectively capture the complex nonlinear features of the power consumption flow, which affects the energy disaggregation accuracy. To this end, this paper designs a method based on temporal convolutional network (TCN), efficient channel attention (ECA), and long short-term memory (LSTM). The method first creatively proposes a two-stage improved TCN (TSTCN), which overcomes its problems of extracting discontinuous information and poor correlation of long-distance information while enhancing the ability to extract high-level load features. Then a novel improved ECA attention mechanism (IECA) is embedded, which is also combined with the skip connection technique to pay channel-weighted attention to important feature maps and promote information fusion. Finally, the LSTM with strong temporal memory capability is introduced to learn the dependencies in the load power sequence and realize load disaggregation. Experiments on two real-world datasets, REDD and UK-DALE, show that the proposed model significantly outperforms other comparative NILM algorithms and achieves satisfactory tracking with the actual appliance operating power. The results show that the mean absolute error (MAE) of all appliances decreases by 18.67% on average, and the F1 score improves by 38.70%.</t>
  </si>
  <si>
    <t>[Zhu, Ziwei; Zhou, Mengran; Hu, Feng; Wang, Kun; Zhou, Guangyao; Kong, Weile; Hu, Yijie; Cui, Enhan] Anhui Univ Sci &amp; Technol, Sch Elect &amp; Informat Engn, Huainan 232001, Anhui, Peoples R China</t>
  </si>
  <si>
    <t>Anhui University of Science &amp; Technology</t>
  </si>
  <si>
    <t>Zhu, ZW (corresponding author), Anhui Univ Sci &amp; Technol, Sch Elect &amp; Informat Engn, Huainan 232001, Anhui, Peoples R China.</t>
  </si>
  <si>
    <t>zwzhu0039@aust.edu.cn</t>
  </si>
  <si>
    <t>10.1007/s12273-024-1175-9</t>
  </si>
  <si>
    <t>WOS:001291240000001</t>
  </si>
  <si>
    <t>Li, LR; Qi, ZX; Ma, QS; Gao, WJ; Wei, XD</t>
  </si>
  <si>
    <t>Li, Lingrui; Qi, Zongxin; Ma, Qingsong; Gao, Weijun; Wei, Xindong</t>
  </si>
  <si>
    <t>Evolving multi-objective optimization framework for early-stage building design: Improving energy efficiency, daylighting, view quality, and thermal comfort</t>
  </si>
  <si>
    <t>multi-objective optimization; building performance simulation; window view quality; occupants' adaptive behavior; hybrid weighting method</t>
  </si>
  <si>
    <t>WINDOW BLINDS; PERFORMANCE; SIMULATION; ALGORITHM; SPACE; MODEL</t>
  </si>
  <si>
    <t>Computational performance-driven design optimization (CPDDO) informs early building design decisions, enhancing projects' responsiveness to local climates. This paper reviews recent CPDDO studies, identifies prevalent gaps, and proposes a refined optimization framework. The framework stands out by: (1) integrating view quality alongside energy, daylight, and thermal comfort considerations, with a vector-simulation-based metric considering content, access and clarity; (2) incorporating users' adaptive behavior patterns in simulations; and (3) employing a hybrid weighting method to accommodate diverse project demands and support robust design decisions. This study applies the framework to optimize the shape and facade variables of a medium-sized office building in Guangzhou, Chongqing, Qingdao, Lanzhou, and Changchun, representing hot, warm, mixed, cool, and cold climates, respectively. Results highlight that geometry features (aspect ratio, orientation, window-to-wall ratio (WWR), and shading devices), as well as window and blinds constructions significantly impact energy, daylight, thermal comfort and view quality. Different climatic conditions, objective priorities, and facade orientations necessitate tailored design variables. Furthermore, certain findings challenge conventional recommendations; for instance, buildings in colder climates benefit from increased WWR, due to enhanced potential to harness solar radiation and improved view access, while high-performance envelope thermal settings mitigate heat transfer. These findings underscore the need for detailed, targeted research in early-stage design. The developed CPDDO framework proves effective and user-friendly, offering new possibilities for optimizing building performance, thus holds the potential to foster green, comfortable, and sustainable architecture in various practical applications.</t>
  </si>
  <si>
    <t>[Li, Lingrui; Qi, Zongxin; Ma, Qingsong; Gao, Weijun] Qingdao Univ Technol, Coll Architecture &amp; Urban Planning, Qingdao 266033, Peoples R China; [Ma, Qingsong; Gao, Weijun] Qingdao Univ Technol, iSMART, Qingdao 266033, Peoples R China; [Gao, Weijun] Univ Kitakyushu, Dept Architecture, Kitakyushu 8080135, Japan; [Wei, Xindong] Jilin Jianzhu Univ, Sch Environm &amp; Municipal Engn, Changchun 130118, Peoples R China</t>
  </si>
  <si>
    <t>Qingdao University of Technology; Qingdao University of Technology; University of Kitakyushu; Jilin Jianzhu University</t>
  </si>
  <si>
    <t>Ma, QS (corresponding author), Qingdao Univ Technol, Coll Architecture &amp; Urban Planning, Qingdao 266033, Peoples R China.;Ma, QS (corresponding author), Qingdao Univ Technol, iSMART, Qingdao 266033, Peoples R China.</t>
  </si>
  <si>
    <t>maqingsong@qut.edu.cn</t>
  </si>
  <si>
    <t>10.1007/s12273-024-1178-6</t>
  </si>
  <si>
    <t>WOS:001312632700002</t>
  </si>
  <si>
    <t>Yan, HN; Ji, GH; Cao, SQ; Zhang, BH</t>
  </si>
  <si>
    <t>Yan, Hainan; Ji, Guohua; Cao, Shuqi; Zhang, Baihui</t>
  </si>
  <si>
    <t>Developing an integrated prediction model for daylighting, thermal comfort, and energy consumption in residential buildings based on the stacking ensemble learning algorithm</t>
  </si>
  <si>
    <t>residential building; ensemble learning; daylighting; thermal comfort; energy consumption</t>
  </si>
  <si>
    <t>SIMULATION; EFFICIENCY</t>
  </si>
  <si>
    <t>Accurate and rapid predictions of residential building performance are crucial for both new building designs and existing building renovations. This study develops an integrated prediction model using a stacking ensemble learning algorithm to predict daylighting, thermal comfort, and energy consumption in residential buildings. The model incorporates multimodal residential building information as inputs, including image-based floorplans and vector-based building parameters. A comparative analysis is presented to evaluate the prediction performance of the proposed stacking ensemble learning algorithm against three base models: Resnet-50, Inception-V4, and Vision Transformer (ViT-32). The results indicated that the stacking ensemble learning algorithm outperforms the base models, reducing the mean absolute percentage error (MAPE) by 0.17%-1.94% and the coefficient of variation root mean square error (CV-RMSE) by 0.37%-2.06% for daylighting metrics; the MAPE by 0.63%-4.46% and the CV-RMSE by 0.62%-5.13% for thermal comfort metrics; the MAPE by 1.42%-6.43% and the CV-RMSE by 0.27%-5.09% for energy consumption metrics of the testing dataset. Further prediction error analyses also indicate that the stacking ensemble learning algorithm consistently yields smaller prediction errors across all performance metrics compared to the three base models. In addition, this study compares the stacking ensemble learning algorithm to traditional machine learning models in terms of prediction accuracy, robustness, and generalization ability, highlighting the advantages of the stacking ensemble learning algorithm with image-based inputs. The proposed stacking ensemble learning algorithm demonstrates superior accuracy, stability, and generalizability, offering valuable and practical design support for building design and renovation processes.</t>
  </si>
  <si>
    <t>[Yan, Hainan; Ji, Guohua; Cao, Shuqi; Zhang, Baihui] Nanjing Univ, Sch Architecture &amp; Urban Planning, Nanjing 210093, Peoples R China; [Ji, Guohua] Jiangsu Collaborat Innovat Ctr Bldg Energy Saving, Xuzhou 221000, Peoples R China</t>
  </si>
  <si>
    <t>Ji, GH (corresponding author), Nanjing Univ, Sch Architecture &amp; Urban Planning, Nanjing 210093, Peoples R China.;Ji, GH (corresponding author), Jiangsu Collaborat Innovat Ctr Bldg Energy Saving, Xuzhou 221000, Peoples R China.</t>
  </si>
  <si>
    <t>jgh@nju.edu.cn</t>
  </si>
  <si>
    <t>10.1007/s12273-024-1181-y</t>
  </si>
  <si>
    <t>WOS:001308287900002</t>
  </si>
  <si>
    <t>Lin, JP; Lin, WJ; Lin, WW; Liu, TY; Wang, JT; Jiang, HL</t>
  </si>
  <si>
    <t>Lin, Jianpeng; Lin, Wenjun; Lin, Weiwei; Liu, Tianyi; Wang, Jiangtao; Jiang, Hongliang</t>
  </si>
  <si>
    <t>Multi-objective cooling control optimization for air-liquid cooled data centers using TCN-BiGRU-Attention-based thermal prediction models</t>
  </si>
  <si>
    <t>data center; thermal prediction; cooling control; multi-objective optimization; energy saving</t>
  </si>
  <si>
    <t>MANAGEMENT; TEMPERATURE</t>
  </si>
  <si>
    <t>With the breakthroughs in generative artificial intelligence (GAI) models, the vast computational demands are placing an unprecedented burden on the data center (DC) energy supply. The cooling system is the second major energy consumer in the DC, maintaining the safe and efficient operation of computing equipment. However, time-varying temperature gradients and power distribution pose a considerable challenge for efficient cooling management in DCs. For this problem, this work proposes a multi-objective cooling control optimization (MCCO) method to minimize cooling energy consumption while maximizing the rack cooling index (RCI) to ensure energy efficiency and security of hybrid-cooled DCs. The proposed method relies on high-fidelity models that characterize the dynamic thermal evolution and cooling power. Therefore, a novel network model (TCN-BiGRU-Attention) combining temporal convolutional network (TCN), bidirectional gated recurrent unit (BiGRU), and attention mechanism is designed to capture the features of multivariate time-series to predict temperature changes in thermal environments and cooling loops. Moreover, considering the complex heat transfer and operational characteristics of hybrid cooling systems, a machine learning (ML)-based power model is constructed to evaluate the holistic cooling power. Subsequently, the NSGA-II algorithm formulates the optimal cooling decision based on the predicted thermal distribution and cooling power, realizing the trade-off between energy consumption and cooling effectiveness. The results of numerical experiments using Marconi 100 data traces suggest that the proposed MCCO significantly reduces cooling energy consumption in summer and winter while maintaining the RCI above 95%.</t>
  </si>
  <si>
    <t>[Lin, Jianpeng; Lin, Wenjun; Lin, Weiwei; Liu, Tianyi] South China Univ Technol, Dept Comp Sci &amp; Engn, Guangzhou 510000, Peoples R China; [Lin, Weiwei] Peng Cheng Lab, Shenzhen 518066, Peoples R China; [Wang, Jiangtao; Jiang, Hongliang] Huawei Technol Co Ltd, Shenzhen 518066, Peoples R China</t>
  </si>
  <si>
    <t>South China University of Technology; Peng Cheng Laboratory; Huawei Technologies</t>
  </si>
  <si>
    <t>Lin, WW (corresponding author), South China Univ Technol, Dept Comp Sci &amp; Engn, Guangzhou 510000, Peoples R China.;Lin, WW (corresponding author), Peng Cheng Lab, Shenzhen 518066, Peoples R China.</t>
  </si>
  <si>
    <t>linww@scut.edu.cn</t>
  </si>
  <si>
    <t>10.1007/s12273-024-1185-7</t>
  </si>
  <si>
    <t>WOS:001337238500001</t>
  </si>
  <si>
    <t>Chen, X; Zhao, XW; Yin, YG</t>
  </si>
  <si>
    <t>Chen, Xin; Zhao, Xingwang; Yin, Yonggao</t>
  </si>
  <si>
    <t>Inverse design of indoor radiant terminal distribution using a parametric level set and K-means clustering</t>
  </si>
  <si>
    <t>radiant cooling system; inverse design; parametric level set method; Predicted Mean Vote (PMV); thermal comfort</t>
  </si>
  <si>
    <t>TOPOLOGY OPTIMIZATION; DISPLACEMENT VENTILATION; THERMAL ENVIRONMENT; COOLING SYSTEMS; AIR; HUMIDITY; COMFORT; ENERGY; HOT; TRACKING</t>
  </si>
  <si>
    <t>Compared with traditional convection air conditioning, the radiant cooling (RC) system has higher energy-saving potential and better comfort. At present, the particle swarm optimization (PSO) algorithm is one of the most advanced methods to optimize the design of indoor radiant terminals. However, this method requires to discretize the design domain in advance. If the geometric division is rough, the accuracy of the optimized results will be too low. To improve the accuracy of the calculation results, the geometric division needs to be refined, but it will greatly increase the calculation load. For each new geometric model, users need to determine a reasonable geometric division every time, which is very time consuming. To solve that problem, this investigation proposed a parameterized level set method (PLSM) to inversely design the area, shape, and locations of the radiant terminal. It not only does not need to discretize the design domain in advance, but also can realize the continuous topological change of the radiant terminal region. The results show that the PLSM can realize the continuous topological transformation of geometric shapes, and the final result of the average absolute value of PMV (divided by PMV divided by avg) around the occupants achieved 0.066. To enhance the practical application of the optimized results, K-means cluster analysis is used to regularize the shape of the radiation terminal region. The corresponding average divided by PMV divided by around the occupants is 0.102, which is also within an acceptable range. All in all, PLSM can be used to inversely design the RC systems, which provides an effective design method for realizing accurate control of the indoor environment using the RC systems.</t>
  </si>
  <si>
    <t>[Chen, Xin; Zhao, Xingwang; Yin, Yonggao] Southeast Univ, Sch Energy &amp; Environm, Nanjing 210096, Peoples R China; [Zhao, Xingwang; Yin, Yonggao] Minist Educ, Engn Res Ctr Bldg Equipment Energy &amp; Environm, Beijing, Peoples R China</t>
  </si>
  <si>
    <t>Zhao, XW (corresponding author), Southeast Univ, Sch Energy &amp; Environm, Nanjing 210096, Peoples R China.;Zhao, XW (corresponding author), Minist Educ, Engn Res Ctr Bldg Equipment Energy &amp; Environm, Beijing, Peoples R China.</t>
  </si>
  <si>
    <t>xw_zhao@seu.edu.cn</t>
  </si>
  <si>
    <t>10.1007/s12273-024-1197-3</t>
  </si>
  <si>
    <t>WOS:001349879200001</t>
  </si>
  <si>
    <t>Shang, WZ; Zhao, TY; Sun, HJ; Liu, JJ</t>
  </si>
  <si>
    <t>Shang, Wenzhe; Zhao, Tianyu; Sun, Hejiang; Liu, Junjie</t>
  </si>
  <si>
    <t>Optimization design method for components parameter in space station ventilation system based on Flowmaster simulation</t>
  </si>
  <si>
    <t>ventilation system; space station; Flowmaster; FMI; genetic algorithm</t>
  </si>
  <si>
    <t>CREW QUARTERS; CFD; FLOW; CO2</t>
  </si>
  <si>
    <t>Due to the challenges of adjustment after installation and the elevated failure rate associated with the use of electric valves, which contributes to increased weight among other issues, single-hole restrictors (SHRs) are commonly employed within the ventilation system of the manned space station. These restrictors are pre-configured with parameters to ensure that the airflow at the termination of the ventilation system meets the designated requirements. However, given their inability to be modified post-installation, a preliminary optimization design process becomes imperative. Past solutions relying solely on experience are insufficient in precise and optimal outcomes. While computational fluid dynamics (CFD) simulations offer accurate results, they encounter difficulties in modeling larger systems and are time-intensive due to multiple iterative simulations. Hence, an optimizing design method through quicker Flowmaster simulations is proposed in this study. Utilizing the Functional Mock-up Interface (FMI) protocol, the ventilation system model established in Flowmaster could be exported as FMU files and fine-tuned within Python using a genetic algorithm (GA), swiftly achieving a well-balanced ventilation system design by adjusting the parameters of the SHRs. The findings from CFD calculations can corroborate the simulations conducted in Flowmaster. The vents' unbalanced factor and the pressure drops of the system are used as optimization objectives. After optimization, the system unbalanced factor and total pressure drop were 5.51% and 5.99 Pa, respectively, both of which are better than the results obtained using CFD through empirical and trial-and-error methods, and the computation time was reduced by 99.16%.</t>
  </si>
  <si>
    <t>[Shang, Wenzhe; Zhao, Tianyu; Sun, Hejiang; Liu, Junjie] Tianjin Univ, Sch Environm Sci &amp; Engn, Tianjin Key Lab Indoor Air Environm Qual Control, Tianjin 300072, Peoples R China</t>
  </si>
  <si>
    <t>Liu, JJ (corresponding author), Tianjin Univ, Sch Environm Sci &amp; Engn, Tianjin Key Lab Indoor Air Environm Qual Control, Tianjin 300072, Peoples R China.</t>
  </si>
  <si>
    <t>jjliu@tju.edu.cn</t>
  </si>
  <si>
    <t>10.1007/s12273-024-1186-6</t>
  </si>
  <si>
    <t>WOS:001321662300001</t>
  </si>
  <si>
    <t>Jing, RY; Gao, R; Nie, S; Hao, XP; Yang, CQ; Li, AG</t>
  </si>
  <si>
    <t>Jing, Ruoyin; Gao, Ran; Nie, Song; Hao, Xinpeng; Yang, Changqing; Li, Angui</t>
  </si>
  <si>
    <t>An adjacent-effects resistant damper integrating control and measurement functions for duct systems</t>
  </si>
  <si>
    <t>ventilation; air volume; adjacent effects; flow coefficient; control and measurement</t>
  </si>
  <si>
    <t>MEASURE AIR-FLOW; TORQUE CHARACTERISTICS; PITOT-TUBE; VENTILATION; VALVE; VELOCITY; MODEL</t>
  </si>
  <si>
    <t>To ensure a comfortable building environment necessitates accurate measurement and control of air volume within duct systems to meet predetermined requirements for each area. Traditional eccentric torque dampers' measurement accuracy may be compromised by adjacent effects from local components, resulting in significant measurement errors. To solve this problem, the study combines CFD numerical simulation and full-scale experimental validation to derive a formula for controlling air volume within the dampers under operational condition. Based on the formula, a novel torque damper is developed, capable of effectively controlling and accurately measuring air volume in duct systems. By linking the two blades, the damper resists the adjacent effects of local components (elbow, variable diameter, tee) on air volume measurements without the need for additional devices, ensuring a measurement error within +/- 5.5%. Additionally, the novel dampers have lower resistance compared to traditional dampers. This paper provides a reference for accurately measuring and effectively controlling air volume, while also maximizing the potential benefits of multi-leaf dampers.</t>
  </si>
  <si>
    <t>[Jing, Ruoyin; Gao, Ran; Nie, Song; Yang, Changqing; Li, Angui] Xian Univ Architecture &amp; Technol, Sch Bldg Serv Sci &amp; Engn, Xian 710055, Shaanxi, Peoples R China; [Hao, Xinpeng] China Railway Siyuan Survey &amp; Design Inst Grp Co L, Wuhan, Peoples R China</t>
  </si>
  <si>
    <t>Gao, R (corresponding author), Xian Univ Architecture &amp; Technol, Sch Bldg Serv Sci &amp; Engn, Xian 710055, Shaanxi, Peoples R China.</t>
  </si>
  <si>
    <t>10.1007/s12273-024-1189-3</t>
  </si>
  <si>
    <t>WOS:001344766700001</t>
  </si>
  <si>
    <t>Deng, JW; Wang, YH; Su, YY; Wang, YG; Chen, Y; Ma, MH; Peng, CW; Cai, WL; Li, J; Wei, QP</t>
  </si>
  <si>
    <t>Deng, Jiewen; Wang, Yanhui; Su, Yangyang; Wang, Yuanguo; Chen, Yin; Ma, Minghui; Peng, Chenwei; Cai, Wanlong; Li, Ji; Wei, Qingpeng</t>
  </si>
  <si>
    <t>Research on the natural circulation characteristic of deep borehole heat exchanger and the influences on the water circulation resistance</t>
  </si>
  <si>
    <t>deep borehole heat exchangers; water circulation resistance; natural circulation; field tests; simulation analysis</t>
  </si>
  <si>
    <t>FIELD-TEST; PUMP; PERFORMANCE; ENERGY</t>
  </si>
  <si>
    <t>As deep borehole heat exchangers (DBHEs) extract heat from geothermal energy with depth of 2-3 kilometers, the circulation water pressure drop is larger than that of shallow-depth borehole heat exchangers, influenced by the water flow rates. This paper conducted field tests and simulation analysis to study the heat transfer performance and water circulation resistance of DBHE in coupled, where the natural circulation characteristic has been discovered and analyzed quantitatively. Results show that the water temperature and density variation along DBHE forms the driving force of natural circulation. For mechanical flow rate of 6.0 kg/s and inlet water temperature of 20.0 degrees C, the natural circulation flow rate reaches about 2.2 kg/s with transient heat extraction power of 78.5 kW, without energy consumption of water pumps. And the larger inlet water temperature, smaller mechanical water flow rate, higher inner tube thermal conductivity coefficient and larger depth of DBHE all contribute to the larger natural circulation water flow rate. In addition, the natural circulation could effectively decrease the comprehensive water pressure drops of DBHE, which is about 47.3% smaller than the calculated value of traditional models. Thus the natural circulation characteristic has significant influence on the heat transfer performance of DBHE, and also on the energy performance of whole heat pump systems.</t>
  </si>
  <si>
    <t>[Deng, Jiewen; Wang, Yanhui; Su, Yangyang; Wang, Yuanguo; Chen, Yin; Ma, Minghui] Huazhong Univ Sci &amp; Technol, Sch Environm Sci &amp; Engn, Hubei Key Lab Multimedia Pollut Cooperat Control Y, Wuhan 430074, Hubei, Peoples R China; [Peng, Chenwei; Wei, Qingpeng] Tsinghua Univ, Dept Bldg Sci, Beijing 100084, Peoples R China; [Cai, Wanlong] Xi An Jiao Tong Univ, Sch Human Settlements &amp; Civil Engn, Xian 710049, Shaanxi, Peoples R China; [Li, Ji] China Acad Bldg Res, Beijing 100013, Peoples R China</t>
  </si>
  <si>
    <t>Huazhong University of Science &amp; Technology; Tsinghua University; Xi'an Jiaotong University</t>
  </si>
  <si>
    <t>Deng, JW (corresponding author), Huazhong Univ Sci &amp; Technol, Sch Environm Sci &amp; Engn, Hubei Key Lab Multimedia Pollut Cooperat Control Y, Wuhan 430074, Hubei, Peoples R China.</t>
  </si>
  <si>
    <t>dengjw@hust.edu.cn</t>
  </si>
  <si>
    <t>10.1007/s12273-024-1202-x</t>
  </si>
  <si>
    <t>WOS:001345370600001</t>
  </si>
  <si>
    <t>Zelensky, P; Zmrhal, V; Barták, M; Kucera, M</t>
  </si>
  <si>
    <t>Zelensky, Petr; Zmrhal, Vladimir; Bartak, Martin; Kucera, Miroslav</t>
  </si>
  <si>
    <t>Simulation-aided development of a compact local ventilation unit with the use of CFD analysis</t>
  </si>
  <si>
    <t>decentralised ventilation; local ventilation unit; heat recovery; computer fluid dynamic; numerical analysis; design improvement; Multiple Reference Frame</t>
  </si>
  <si>
    <t>SYSTEMS; DESIGN</t>
  </si>
  <si>
    <t>Insufficient fresh air supply due to the increased air tightness of building envelopes after building renovations and window upgrades is a major concern of HVAC engineering today. The paper demonstrates the application of CFD simulations in the development of a compact decentralised ventilation unit with integrated heat recovery system for local ventilation of rooms, targeting this common issue. The device houses an innovative cyclically rotating recuperative heat exchanger, allowing effective condensate removal and de-icing in winter for its independent operation throughout the year. The paper introduces the ventilation unit, describes preparation of its numerical models, and conducts CFD simulation using Ansys Fluent software. The initial design of the device was improved following the findings of the numerical analysis, and the proposed adjustments were tested through follow-up CFD simulations, confirming that the desired outcomes were achieved. A separate CFD analysis was performed to assess the use of different air supply elements at the air outlet to the room, recommending the use of adjustable nozzles. A prototype ventilation unit was manufactured and the volume flow rate under different operating conditions was measured to be compared with the simulation results. The outcome of the research is a new type of compact local ventilation unit. An increase in device energy efficiency was achieved, with the aid of simulations, while maintaining its compact size. In addition to presenting the potential of using variant CFD analysis in the development of new HVAC equipment, the paper also indicates the drawbacks of using the Multiple Reference Frame (MRF) method to approximate the rotation of radial fan impellers in CFD simulations.</t>
  </si>
  <si>
    <t>[Zelensky, Petr; Zmrhal, Vladimir; Bartak, Martin; Kucera, Miroslav] Czech Tech Univ, Fac Mech Engn, Dept Environm Engn, Tech 4, Prague 6, Czech Republic</t>
  </si>
  <si>
    <t>Zmrhal, V (corresponding author), Czech Tech Univ, Fac Mech Engn, Dept Environm Engn, Tech 4, Prague 6, Czech Republic.</t>
  </si>
  <si>
    <t>10.1007/s12273-024-1183-9</t>
  </si>
  <si>
    <t>WOS:001324502700001</t>
  </si>
  <si>
    <t>Yao, GP; Liu, ZJ; Shi, J; Liu, HY; Ding, MT; He, JZ</t>
  </si>
  <si>
    <t>Yao, Guangpeng; Liu, Zhijian; Shi, Jie; Liu, Haiyang; Ding, Mingtao; He, Junzhou</t>
  </si>
  <si>
    <t>Comprehensive evaluations of the bioaerosol filtration performance of high- and medium-efficiency filters under different influencing factors</t>
  </si>
  <si>
    <t>air quality; air filter; bioaerosol; filtration performance; pressure drop</t>
  </si>
  <si>
    <t>SERRATIA-MARCESCENS; AEROSOL FILTRATION; RELATIVE-HUMIDITY; FIBROUS FILTERS; HVAC FILTERS; BACTERIA; OUTBREAKS</t>
  </si>
  <si>
    <t>Bioaerosol filtration is crucial for improving indoor air quality and reducing cross-infection risk. It is necessary to conduct a comprehensive study on the bioaerosol filtration performance of air filters under different influencing factors. Firstly, this study proposed a standardized test scheme for the comprehensive evaluation of bioaerosol filtration performance. Additionally, the high-efficiency particulate air (H13) and medium-efficiency particulate air (F8) filters were evaluated in depth using Serratia marcescens bioaerosol, considering the face velocity, relative humidity (RH), and operating time. This study also investigated the impact of removing static electricity on the bioaerosol filtration efficiency (BFE) of F-filter materials. The pressure drop (Delta P) value of H13-filter and the BFE of F8-filter were significantly affected by face velocity and RH. When the face velocity increased from 5 to 20 cm/s, the H13-filter maintained a BFE above 99%, while Delta P increased by 303 Pa. During a 90 min test, the maximum change in the BFE of the H13-filter was 0.80% and Delta P increased by 26 Pa. Conversely, the BFE of the F8-filter decreased by up to 12.21%, while Delta P increased by only 3 Pa. Higher RH resulted in more pronounced changes in BFE. After removing the static electricity from the F8-filter material, the BFE decreased significantly, with a maximum reduction of 25%. The results may provide valuable insights into the application of conventional filters in bioaerosol filtration and serve as a guide for the enhancement and optimization of filter design.</t>
  </si>
  <si>
    <t>[Yao, Guangpeng; Liu, Zhijian; Shi, Jie; Liu, Haiyang; Ding, Mingtao; He, Junzhou] North China Elect Power Univ, Dept Power Engn, Baoding 071003, Peoples R China</t>
  </si>
  <si>
    <t>North China Electric Power University</t>
  </si>
  <si>
    <t>Liu, ZJ; He, JZ (corresponding author), North China Elect Power Univ, Dept Power Engn, Baoding 071003, Peoples R China.</t>
  </si>
  <si>
    <t>zhijianliu@ncepu.edu.cn; hjz@ncepu.edu.cn</t>
  </si>
  <si>
    <t>10.1007/s12273-024-1184-8</t>
  </si>
  <si>
    <t>WOS:001336760200001</t>
  </si>
  <si>
    <t>Xing, CJ; Ai, ZT; Mak, CM; Wong, HM</t>
  </si>
  <si>
    <t>Xing, Chaojie; Ai, Zhengtao; Mak, Cheuk Ming; Wong, Hai Ming</t>
  </si>
  <si>
    <t>Performance evaluation of high-volume evacuation for removing droplets during dental treatment</t>
  </si>
  <si>
    <t>high-volume evacuation (HVE); ultrasonic scaling instruments (USI); powder jet handpieces (PJH); high-speed air turbine handpiece (HATH); fallow time (FT); computational fluid dynamics (CFD)</t>
  </si>
  <si>
    <t>BACTERIAL AEROSOLS; SARS-COV-2; REDUCTION; PARTICLES; EFFICACY; DYNAMICS; DEVICE; SALIVA</t>
  </si>
  <si>
    <t>The high-volume evacuation (HVE) is commonly employed as a primary source control measure for removing splatter emitted from mouth during dental treatments, but there is still a lack of comprehensive understanding of its efficiency. Based on our previous experiments on the emission characteristics during dental treatments, this study employed computational fluid dynamics (CFD) simulations to investigate the impact of emission parameters (droplet size, emission velocity, emission angle), HVE usage methods (distance between HVE and the droplet release source), and HVE suction flow rates on its removal efficiency. The effect of HVE on fallow time (FT) was also examined. Cumulative removal efficiency that accurately reflected the HVE effect was proposed as an evaluation index. It was found that emission velocity and distance between HVE and the source were key factors determining cumulative removal efficiency. When the distance was 4 cm, the cumulative removal efficiencies for low-velocity (0.8 m/s), medium-velocity (3.4 m/s), and high-velocity droplets (6.0 m/s) were approximately 97.9%, 73.6%, and 58.0%, respectively. For high-velocity droplets at 6.0 m/s, decreasing the distance from 4 cm to 2 cm and 1 cm increased the cumulative removal efficiency from 58.0% to 76.7% and 100%. This study was expected to enhance the understanding of HVE performance and provide information on its usage method. It also indicated the need for developing advanced control measures that could have high efficiency in removing both low-velocity and high-velocity droplets.</t>
  </si>
  <si>
    <t>[Xing, Chaojie; Ai, Zhengtao] Hunan Univ, Dept Civil Engn, Changsha 410082, Peoples R China; [Xing, Chaojie; Ai, Zhengtao] Hunan Univ, Natl Ctr Int Res Collaborat Bldg Safety &amp; Environm, Changsha, Hunan, Peoples R China; [Mak, Cheuk Ming] Hong Kong Polytech Univ, Dept Bldg Environm &amp; Energy Engn, Hung Hom, Hong Kong, Peoples R China; [Wong, Hai Ming] Univ Hong Kong, Fac Dent, Pok Fu Lam, Hong Kong, Peoples R China</t>
  </si>
  <si>
    <t>Hunan University; Hunan University; Hong Kong Polytechnic University; University of Hong Kong</t>
  </si>
  <si>
    <t>Ai, ZT (corresponding author), Hunan Univ, Dept Civil Engn, Changsha 410082, Peoples R China.;Ai, ZT (corresponding author), Hunan Univ, Natl Ctr Int Res Collaborat Bldg Safety &amp; Environm, Changsha, Hunan, Peoples R China.</t>
  </si>
  <si>
    <t>10.1007/s12273-024-1187-5</t>
  </si>
  <si>
    <t>WOS:001346646400001</t>
  </si>
  <si>
    <t>Wang, YB; Li, JQ; Liu, W; Dong, JK; Liu, J</t>
  </si>
  <si>
    <t>Wang, Yuanbo; Li, Jiqin; Liu, Wei; Dong, Jiankai; Liu, Jing</t>
  </si>
  <si>
    <t>Developing modified k-ε turbulence models for neutral atmospheric boundary layer flow simulation using OpenFOAM</t>
  </si>
  <si>
    <t>urban airflow; computational fluid dynamics (CFD); atmospheric boundary layer; OpenFOAM; turbulence model</t>
  </si>
  <si>
    <t>DIFFERENT CONFIGURATIONS; RANS SIMULATION; CFD SIMULATION; WIND; DISPERSION; LES; FORMULATION; ENVIRONMENT; STEADY</t>
  </si>
  <si>
    <t>Accurate turbulence modeling is essential for simulation studies of urban physics. In this study, the comprehensive atmospheric boundary layer (ABL) model involving a variable model coefficient and an additional turbulent dissipation source term was implemented using the open-source software OpenFOAM. Combined with consistent inlet wind profiles and rough wall functions of different turbulence variables based on the aerodynamic roughness, the model maintained the horizontal homogeneity well. Then, a hybrid approach was introduced to consider buildings immersed in ABL flows, enabling automatic transformation of the turbulence model between the region around the buildings and the free flow region away from any building. Finally, the effects of applying different model forms to the airflow field around buildings were evaluated in detail through three-dimensional building cases representing six urban prototypes based on three wind tunnel databases. Our findings indicated that all modified k-epsilon models perform well in reproducing the flow data of the CEDVAL and Architectural Institute of Japan (AIJ) experiments consisting of a single building, an array of buildings, and an isolated high-rise building. However, the modified k-epsilon model with an additional correction term performed poorly in the database of Niigata Institute of Technology and the case of complex terrain and urban building configurations, because the correction term inhibited the generation of turbulent kinetic energy. In addition, from the comparison between the experimental data of all cases, the model with the original formulation of the coefficient performed the best in terms of prediction accuracy. The root mean square errors of the normalized velocity were 0.1250, 0.0879, 0.1145, 0.1350, and 0.1492 in different cases, which proved the reliability of this turbulence model.</t>
  </si>
  <si>
    <t>[Wang, Yuanbo; Li, Jiqin; Dong, Jiankai; Liu, Jing] Harbin Inst Technol, Sch Architecture, Key Lab Cold Reg Urban &amp; Rural Human Settlement En, Minist Ind &amp; Informat Technol, Harbin 150090, Peoples R China; [Liu, Wei] Tianjin Univ, Sch Environm Sci &amp; Engn, Tianjin Key Lab Indoor Air Environm Qual Control, 92 Weijin Rd, Tianjin 300072, Peoples R China; [Liu, Wei] KTH Royal Inst Technol, Dept Civil &amp; Architectural Engn, Div Sustainable Bldg, Brinellvagen 23, S-10044 Stockholm, Sweden</t>
  </si>
  <si>
    <t>Harbin Institute of Technology; Tianjin University; Royal Institute of Technology</t>
  </si>
  <si>
    <t>Dong, JK (corresponding author), Harbin Inst Technol, Sch Architecture, Key Lab Cold Reg Urban &amp; Rural Human Settlement En, Minist Ind &amp; Informat Technol, Harbin 150090, Peoples R China.</t>
  </si>
  <si>
    <t>djkhit@hit.edu.cn</t>
  </si>
  <si>
    <t>10.1007/s12273-024-1194-6</t>
  </si>
  <si>
    <t>WOS:001353867900001</t>
  </si>
  <si>
    <t>Cao, CS; Huo, HJ; Hou, YM; Xia, YF; Li, CG; Gao, J</t>
  </si>
  <si>
    <t>Cao, Changsheng; Huo, Huanjie; Hou, Yumei; Xia, Yunfei; Li, Chunguang; Gao, Jun</t>
  </si>
  <si>
    <t>Using the principle of dynamic temporal separation to determine the range hood direct capture efficiency</t>
  </si>
  <si>
    <t>range hoods; kitchen ventilation; direct capture efficiency; local exhaust; reflux capture</t>
  </si>
  <si>
    <t>WALLED SUCTION FUNNEL; RESIDENTIAL KITCHEN; ULTRAFINE PARTICLES; VENTILATION SYSTEM; COOKING; AEROSOL; FLOW; EXPOSURE; FUME; PERFORMANCE</t>
  </si>
  <si>
    <t>Range hoods are commonly used in residential kitchens to capture pollutants generated during cooking. Direct capture represents the true capture performance of the range hood as a local exhaust device. A better metric for evaluating range hood capture performance is direct capture efficiency (DCE), defined as the ratio of pollutant directly captured by the hood to the total pollutant emission from the source. This paper clarifies the dynamic functioning mechanism of direct capture and reflux capture, analyzes the dynamic characteristics of exhaust concentration, and deduces a simple method for DCE determination based on dynamic temporal separation, where DCE is the ratio of the peak concentration of direct capture (C1) to the peak concentration of total capture (C2). Experimental and simulation studies on dynamic exhaust concentration were conducted under different ventilation conditions, and the results were in good agreement. Then, the determination methods of C1 and C2, including the experimental methods, were further studied to calculate the DCE. The measured and simulated results for DCE based on dynamic temporal separation showed good consistency, with a deviation of less than 2.0%. Finally, the two spatial separation methods for determining DCE (mass flux ratio and virtual purification) proposed and verified in our previous study showed good agreement with the dynamic temporal separation method based on C1/C2 proposed here, with a maximum deviation of 2.0%. The determination method of DCE based on dynamic time separation, particularly the experimental method, is of great significance for evaluating the real capture performance of range hoods.</t>
  </si>
  <si>
    <t>[Cao, Changsheng; Huo, Huanjie; Hou, Yumei; Xia, Yunfei; Gao, Jun] Tongji Univ, Inst HVAC, Sch Mech Engn, Shanghai 20092, Peoples R China; [Li, Chunguang] China United Engn Corp Ltd, Hangzhou 310052, Peoples R China</t>
  </si>
  <si>
    <t>Gao, J (corresponding author), Tongji Univ, Inst HVAC, Sch Mech Engn, Shanghai 20092, Peoples R China.</t>
  </si>
  <si>
    <t>gaojun-hvac@tongji.edu.cn</t>
  </si>
  <si>
    <t>10.1007/s12273-024-1201-y</t>
  </si>
  <si>
    <t>WOS:001355310200001</t>
  </si>
  <si>
    <t>Song, C; Zhao, DX; Liu, YF; Li, J; Zhao, JY</t>
  </si>
  <si>
    <t>Song, Cong; Zhao, Dongxue; Liu, Yanfeng; Li, Jia; Zhao, Jinyu</t>
  </si>
  <si>
    <t>The regulatory effect of the asymmetrical dress style on people's thermal comfort and heat loss</t>
  </si>
  <si>
    <t>local heat loss; total heat loss; Xizang people; thermal comfort; asymmetrical dressing</t>
  </si>
  <si>
    <t>SKIN TEMPERATURE DISTRIBUTION; CLOTHING DISTRIBUTION; HUMAN-BODY; RESPONSES</t>
  </si>
  <si>
    <t>On the plateau, symmetrical (WDS) and asymmetrical (WLS) dressing habits have been developed to adapt to the extreme climate of the plateau, which is characterized by large temperature variations. Few studies have investigated the impact of these dressing styles on the heat loss and thermal comfort of the Xizang people. To better characterize these impacts, models representing local heat loss of human are developed, and human heat loss experiments are conducted on the plateau. The results showed that the WLS increased the total heat loss of the participants by a range between 7.2 % and 25.7 % compared to the WDS; however, WLS narrowed the range of localized heat loss and reset the distribution of heat loss intensity. Adopting the WLS, the localized convection and radiation heat loss reported in the right sleeve was higher than that of the WDS by a range of 3.1 to 12.5 W/m2 and 5.2 to 22.5 W/m2, respectively. Also, the results of thermal neutral temperature of the participants increased by 2 degrees C when the WLS was utilized. Focusing on the distribution of heat loss to achieve localized insulation through clothing thermal regulation is an effective strategy to achieve human thermal comfort and energy savings.</t>
  </si>
  <si>
    <t>[Song, Cong; Zhao, Dongxue; Liu, Yanfeng; Li, Jia; Zhao, Jinyu] Xian Univ Architecture &amp; Technol, Sch Bldg Serv Sci &amp; Engn, Xian 710055, Shaanxi, Peoples R China; [Song, Cong; Liu, Yanfeng] Xian Univ Architecture &amp; Technol, State Key Lab Green Bldg, Xian 710055, Shaanxi, Peoples R China</t>
  </si>
  <si>
    <t>Song, C (corresponding author), Xian Univ Architecture &amp; Technol, Sch Bldg Serv Sci &amp; Engn, Xian 710055, Shaanxi, Peoples R China.;Song, C (corresponding author), Xian Univ Architecture &amp; Technol, State Key Lab Green Bldg, Xian 710055, Shaanxi, Peoples R China.</t>
  </si>
  <si>
    <t>10.1007/s12273-024-1182-x</t>
  </si>
  <si>
    <t>WOS:001349879200002</t>
  </si>
  <si>
    <t>Zou, YK; Chen, ZH; Lou, SW; Huang, Y; Xia, DW; Cao, YF; Li, HJ; Lun, IYF</t>
  </si>
  <si>
    <t>Zou, Yukai; Chen, Zonghan; Lou, Siwei; Huang, Yu; Xia, Dawei; Cao, Yifan; Li, Haojie; Lun, Isaac Y. F.</t>
  </si>
  <si>
    <t>Accelerating long-term building energy performance simulation with a reference day method</t>
  </si>
  <si>
    <t>residential building; ensemble learning; building simulation; rapid building energy prediction; reference day; representative weather condition; prototype building</t>
  </si>
  <si>
    <t>CLIMATE; IMPACTS</t>
  </si>
  <si>
    <t>In response to the growing necessity for rapid simulation techniques for long-term building energy forecasting, this study establishes a 'reference day' method. This method significantly alleviates computational load in intricate simulation tasks by minimizing the redundancy of meteorological data. By employing a selected number of reference days to represent the meteorological profile over an extended period, we can estimate the total long-term energy consumption of buildings. The Finkelstein-Schafer statistic is utilized to identify these reference days. To evaluate the effectiveness of this proposed methodology, we analyzed sixteen prototype buildings-comprising two residential and fourteen commercial structures-and thirty years of meteorological data from Denver, USA. The findings indicate that the reference day approach effectively identifies days with representative weather conditions, enabling accurate energy consumption predictions while considerably reducing computational demands. Our case study suggests that selecting nine reference days strikes a good balance between predictive accuracy and computational efficiency over a long time span, even a 25-year period. In such a period, the margin of average error for predicting electricity and gas consumption was remarkably low, at -0.7% and -3.0%, respectively. It is important to note that the building's operational schedule can significantly influence energy consumption. Hence, different sets of reference days should be designated for varied building operation categories. In summary, considering the high computational costs and lengthy durations of work associated with standard building simulations, our proposed reference day method could play a pivotal role in rapid energy consumption assessments. The efficacy and applicability of this method warrant further investigation.</t>
  </si>
  <si>
    <t>[Zou, Yukai; Chen, Zonghan; Xia, Dawei; Cao, Yifan; Li, Haojie] Guangzhou Univ, Sch Architecture &amp; Urban Planning, Guangzhou 510006, Peoples R China; [Lou, Siwei; Huang, Yu] Guangzhou Univ, Sch Civil Engn &amp; Transportat, Guangzhou 510006, Peoples R China; [Huang, Yu] State Key Lab Bldg Safety &amp; Built Environm, 30 North Third Ring East Rd, Beijing 100013, Peoples R China; [Huang, Yu] Natl Engn Res Ctr Bldg Technol, 30 North Third Ring East Rd, Beijing 100013, Peoples R China; [Lun, Isaac Y. F.] Univ Nottingham Ningbo, Dept Architecture &amp; Built Environm, Ningbo 315100, Peoples R China</t>
  </si>
  <si>
    <t>Guangzhou University; Guangzhou University; University of Nottingham Ningbo China</t>
  </si>
  <si>
    <t>Huang, Y (corresponding author), Guangzhou Univ, Sch Civil Engn &amp; Transportat, Guangzhou 510006, Peoples R China.;Huang, Y (corresponding author), State Key Lab Bldg Safety &amp; Built Environm, 30 North Third Ring East Rd, Beijing 100013, Peoples R China.;Huang, Y (corresponding author), Natl Engn Res Ctr Bldg Technol, 30 North Third Ring East Rd, Beijing 100013, Peoples R China.</t>
  </si>
  <si>
    <t>10.1007/s12273-024-1190-x</t>
  </si>
  <si>
    <t>WOS:001337238500002</t>
  </si>
  <si>
    <t>He, ZE; Zuazua-Ros, A; Martín-Gómez, C</t>
  </si>
  <si>
    <t>He, Zhineng; Zuazua-Ros, Amaia; Martin-Gomez, Cesar</t>
  </si>
  <si>
    <t>Optimizing a thermoelectric window frame for heating and cooling: A cross-validated simulation study</t>
  </si>
  <si>
    <t>building; envelop; electricity; parametric analysis; CFD; Peltier</t>
  </si>
  <si>
    <t>PERFORMANCE; DESIGN; VENTILATION; MODEL; UNIT</t>
  </si>
  <si>
    <t>Beyond the design of the system components, the potential application of thermoelectric (TE) systems is influenced by various factors in the control process. To understand the effects of these control factors on TE system performance in buildings, computational models for a TE window frame are established. In this work, two different numerical methodologies are applied to calculate the desired operating current and temperature distributions within the airflows and on the surfaces of the Peltier cells. The simulation results obtained from these methodologies are cross-validated and compared with relevant experimental results from existing studies. The mathematical model iterates the outgoing airflow temperature at non-object sides after determining the object-side temperature under a certain heat load. Additionally, alongside the number of activated Peltier cells and airflow rate, a new factor, termed the distribution of power strength, is considered in the analysis. The results indicate that homogeneous power strength across each Peltier cell yields favorable outcomes in both heating and cooling modes. The coefficient of performance (COP) increases with the activation of more Peltier cells under a constant heat load, while begins to decline beyond a certain threshold. Moreover, the COP is enhanced with a relatively higher airflow rate by strengthening the heat transfer to relieve the temperature difference between both sides. Consequently, based on the result analysis, we propose an optimization strategy for TE systems. This strategy aims to optimize operating currents, the number of working Peltier cells, and operating airflow rates, particularly when working conditions fluctuate.</t>
  </si>
  <si>
    <t>[He, Zhineng; Zuazua-Ros, Amaia; Martin-Gomez, Cesar] Univ Navarra, Dept Construct Bldg Serv &amp; Struct, Campus Univ, Pamplona 31009, Spain</t>
  </si>
  <si>
    <t>University of Navarra</t>
  </si>
  <si>
    <t>Zuazua-Ros, A (corresponding author), Univ Navarra, Dept Construct Bldg Serv &amp; Struct, Campus Univ, Pamplona 31009, Spain.</t>
  </si>
  <si>
    <t>azuazua@unav.es</t>
  </si>
  <si>
    <t>10.1007/s12273-024-1192-8</t>
  </si>
  <si>
    <t>WOS:001343176000001</t>
  </si>
  <si>
    <t>Hong, TZ; Lee, SH; Zhang, WN; Li, H; Sun, KY; Kace, J</t>
  </si>
  <si>
    <t>Hong, Tianzhen; Lee, Sang Hoon; Zhang, Wanni; Li, Han; Sun, Kaiyu; Kace, Joshua</t>
  </si>
  <si>
    <t>Informing electrification strategies of residential neighborhoods with urban building energy modeling</t>
  </si>
  <si>
    <t>decarbonization; electrification; residential building district; energy efficiency; urban building energy modeling; CityBES</t>
  </si>
  <si>
    <t>EMISSIONS</t>
  </si>
  <si>
    <t>Electrifying end uses is a key strategy to reducing GHG emissions in buildings. However, it may increase peak electricity demand that triggers the need to upgrade the existing power distribution system, leading to delays in electrification and needs of significant investment. There is also concern that building electrification may cause an increase of energy costs, leading to further energy burden for low-income communities. This study uses the urban scale building modeling tool CityBES to assess the electrification impacts of more than 43,000 residential buildings in a neighborhood of Portland, Oregon, USA. Energy efficiency upgrades were investigated on their potential to mitigate the increase of peak electricity demand and energy burden. Simulation results from the calibrated EnergyPlus models show that electrification with heat pumps for space heating and cooling as well as for domestic water heating can reduce CO2e emissions by 38%, but increase peak electricity demand by about 9% from the baseline building stock. Combining electrification measures and energy efficiency upgrades can reduce CO2e emissions by 48% while reducing peak electricity demand by 6% and saving the median household energy costs by 28%. City and utility decision makers should consider integrating energy efficiency upgrades with electrification measures as an effective residential building electrification strategy, which significantly reduces carbon emissions, caps or even decreases peak demand while reducing energy burden of residents.</t>
  </si>
  <si>
    <t>[Hong, Tianzhen; Lee, Sang Hoon; Zhang, Wanni; Li, Han; Sun, Kaiyu; Kace, Joshua] Lawrence Berkeley Natl Lab, Bldg Technol &amp; Urban Syst Div, Berkeley, CA 94720 USA</t>
  </si>
  <si>
    <t>Hong, TZ (corresponding author), Lawrence Berkeley Natl Lab, Bldg Technol &amp; Urban Syst Div, Berkeley, CA 94720 USA.</t>
  </si>
  <si>
    <t>thong@lbl.gov</t>
  </si>
  <si>
    <t>JAN</t>
    <phoneticPr fontId="2" type="noConversion"/>
  </si>
  <si>
    <t>10.1007/s12273-024-1214-6</t>
  </si>
  <si>
    <t>DEC 2024</t>
  </si>
  <si>
    <t>WOS:001381606200001</t>
  </si>
  <si>
    <t>Du, SD; Zhao, YQ; Tian, Z; Geisler-Moroder, D; Wang, W</t>
  </si>
  <si>
    <t>Du, Sida; Zhao, Yongqing; Tian, Zhen; Geisler-Moroder, David; Wang, Wei</t>
  </si>
  <si>
    <t>Exploring GPU acceleration framework for climate based daylight modeling</t>
  </si>
  <si>
    <t>graphics processing unit; acceleration of matrix multiplication; glare evaluation; computation time; single-precision ray tracing</t>
  </si>
  <si>
    <t>ENVIRONMENTS; COMFORT; DESIGN</t>
  </si>
  <si>
    <t>Indoor glare significantly affects the visual comfort and health of occupants, daylighting simulation can act as an effective method to analyze daylight glare issues during building design. To address the extensive computational costs associated with calculating annual daylight glare metrics with existing methods, this study introduces an acceleration framework, which can be widely applied. The framework integrates a newly developed daylight matrix multiplication program (DMM4GPU) for Graphics Processing Unit (GPU) computation acceleration and the previously developed Accelerad program, which can accelerate the calculation of Daylight Coefficient (DC) matrices in the Two-phase Method (2-PM), the View matrices in the Three-phase Method (3-PM) and Five-phase Method (5-PM). By comparing with standard Radiance Central Processing Unit (CPU) calculations, the study validated the acceleration framework's simulation accuracy and significantly reduced computation time in daylight glare metrics calculations. It also analyzed the impact of various simulation parameters on the framework's performance. Results indicate that the acceleration framework's error in calculating Daylight Glare Probability (DGP) is minimal (RMSE &lt; 0.004), and the computation times for the 2-PM, 3-PM, and 5-PM are reduced by 94.8%, 93.9%, and 83.0%, respectively. Furthermore, this study discussed modeling techniques to avoid possible errors in the daylight GPU computations.</t>
  </si>
  <si>
    <t>[Du, Sida; Zhao, Yongqing; Tian, Zhen; Wang, Wei] Hunan Univ, Sch Architecture &amp; Planning, Changsha 410082, Peoples R China; [Tian, Zhen; Wang, Wei] Austria China Low Carbon Bldg &amp; Energy Joint Lab, Changsha 410082, Peoples R China; [Geisler-Moroder, David] Univ Innsbruck, Unit Energy Efficient Bldg, A-6020 Innsbruck, Austria</t>
  </si>
  <si>
    <t>Hunan University; University of Innsbruck</t>
  </si>
  <si>
    <t>Tian, Z; Wang, W (corresponding author), Hunan Univ, Sch Architecture &amp; Planning, Changsha 410082, Peoples R China.;Tian, Z; Wang, W (corresponding author), Austria China Low Carbon Bldg &amp; Energy Joint Lab, Changsha 410082, Peoples R China.</t>
  </si>
  <si>
    <t>zhentian@hnu.edu.cn; wangwei10731@hnu.edu.cn</t>
  </si>
  <si>
    <t>10.1007/s12273-024-1207-5</t>
  </si>
  <si>
    <t>WOS:001351977100001</t>
  </si>
  <si>
    <t>Wei, XD; Wu, HJ; Du, K; Gu, JA; Huang, GS; Xu, XH</t>
  </si>
  <si>
    <t>Wei, Xudong; Wu, Huijun; Du, Ke; Gu, Jiaan; Huang, Gongsheng; Xu, Xinhua</t>
  </si>
  <si>
    <t>Infrared-transparent bubble wrap assisted high-intensity radiant cooling</t>
  </si>
  <si>
    <t>infrared-transparent; bubble wrap; radiant cooling; condensation; cooling capacity</t>
  </si>
  <si>
    <t>CONDENSATION; HOT</t>
  </si>
  <si>
    <t>Covering the radiant cooling surface with infrared-transparent membrane effectively improves the condensation resistance and cooling capacity of radiant cooling. However, the air layer structure formed by the infrared-transparent and double-layer hollow membranes is easy to destroy, resulting in condensation problems. Inspired by the hollow structure of natural bamboo, an infrared-transparent bubble wrap assisted radiant cooling panel (BWRCP) aiming at improving the strength and cooling capacity was proposed by using the infrared-transparent bubble wrap consisting of infrared-transparent membrane and air-filled pores to layer the radiant cooling panel. Both experimental investigation and numerical calculation of the cooling capacity of the infrared-transparent bubble wrap assisted radiant cooling system were carried out. Experimental results showed that the cooling capacity of BWRCP at condensation-free condition was 93.54 W/m2, which was 33% higher than traditional radiant cooling without covering infrared-transparent bubble wrap. Numerical results showed that the air-contact surface temperature of the infrared-transparent bubble wrap was higher than the dew point temperature. It provides condensation-free operation in the thermal environment of 26 degrees C and 45%-80% RH. Therefore, compared with traditional radiant cooling, BWRCP significantly improves the cooling capacity at condensation-free condition. It demonstrated a novel structure design and operation guidance for the high-performance radiant cooling technology.</t>
  </si>
  <si>
    <t>[Wei, Xudong; Wu, Huijun; Du, Ke; Gu, Jiaan] Guangzhou Univ, Sch Civil Engn &amp; Transportat, Guangzhou 510006, Peoples R China; [Huang, Gongsheng] City Univ Hong Kong, Dept Architecture &amp; Civil Engn, Hong Kong, Peoples R China; [Xu, Xinhua] Huazhong Univ Sci &amp; Technol, Dept Bldg Environm &amp; Energy Engn, Wuhan 430074, Peoples R China</t>
  </si>
  <si>
    <t>Guangzhou University; City University of Hong Kong; Huazhong University of Science &amp; Technology</t>
  </si>
  <si>
    <t>Wu, HJ (corresponding author), Guangzhou Univ, Sch Civil Engn &amp; Transportat, Guangzhou 510006, Peoples R China.</t>
  </si>
  <si>
    <t>wuhuijun@tsinghua.org.cn</t>
  </si>
  <si>
    <t>10.1007/s12273-024-1205-7</t>
  </si>
  <si>
    <t>WOS:001366131800001</t>
  </si>
  <si>
    <t>Dai, CB; Ma, T; Zhang, YJ; Weng, SJ; Peng, JQ</t>
  </si>
  <si>
    <t>Dai, Cangbin; Ma, Tao; Zhang, Yijie; Weng, Shengjie; Peng, Jinqing</t>
  </si>
  <si>
    <t>Improvement of building energy flexibility with PV battery system based on prediction and load management</t>
  </si>
  <si>
    <t>demand side management; genetic algorithm; multi-objective optimization; artificial neural network; photovoltaic-battery system</t>
  </si>
  <si>
    <t>SELF-CONSUMPTION; STORAGE; OPTIMIZATION; ALGORITHM</t>
  </si>
  <si>
    <t>With the rapid increase in solar photovoltaic (PV) installation capacity, the strain on grid transmission burden has intensified. A house energy management system is recognized as an effective solution to mitigate this grid burden. However, existing research has not fully explored the potential of battery utilization and the forecasting of uncertainties. In this paper, a novel multi-objective optimization framework based on the genetic algorithm-based method for the house energy management system is proposed, to enhance renewable self-consumption, improve on-site renewable self-sufficiency, and optimize economic benefits for users. The framework integrates an artificial neural network for predictions of meteorological data and user load at a 5-minute temporal resolution, enabling the simulation and optimization of the PV-battery-flexible load system. Emphasizing deferrable loads, constant-temperature control loads, and batteries, the proposed framework devises optimal strategies for distributed PV battery systems in residential. It harnesses load flexibility and battery storage capabilities while incorporating comfort assessment metrics. This approach significantly improves the system's economic and technical performance metrics, with system self-consumption rate, self-sufficiency rate, and cost reduction ratio improved by 13.5%, 11.3%, and 6.2%, respectively, compared to the basic strategy. Additionally, the optimization of the air conditioning system enhances alignment with the photovoltaic generation, resulting in a 9.8% reduction in energy consumption and a 9.4% decrease in electricity costs, while maintaining user comfort at an acceptable level. The proposed framework promotes the practical application of renewable management systems, highlighting renewable energy efficient utilization, grid dependency reduction, and user economic benefit increase.</t>
  </si>
  <si>
    <t>[Dai, Cangbin; Ma, Tao; Weng, Shengjie] Shanghai Jiao Tong Univ, Engn Res Ctr Solar Energy &amp; Refrigerat MOE, Sch Mech Engn, Shanghai, Peoples R China; [Zhang, Yijie] Hong Kong Polytech Univ, Dept Bldg Environm &amp; Energy Engn, Renewable Energy Res Grp RERG, Hong Kong, Peoples R China; [Peng, Jinqing] Hunan Univ, Coll Civil Engn, Changsha, Peoples R China</t>
  </si>
  <si>
    <t>Shanghai Jiao Tong University; Hong Kong Polytechnic University; Hunan University</t>
  </si>
  <si>
    <t>Ma, T (corresponding author), Shanghai Jiao Tong Univ, Engn Res Ctr Solar Energy &amp; Refrigerat MOE, Sch Mech Engn, Shanghai, Peoples R China.</t>
  </si>
  <si>
    <t>tao.ma@sjtu.edu.cn</t>
  </si>
  <si>
    <t>10.1007/s12273-024-1216-4</t>
  </si>
  <si>
    <t>WOS:001368868600001</t>
  </si>
  <si>
    <t>Cao, QF; Yang, Y; Zhu, NB; Wang, Y; Cui, Y; Xiong, KN; Zhang, YM; Li, SK; Wang, X; Wang, F</t>
  </si>
  <si>
    <t>Cao, Qingfeng; Yang, Yang; Zhu, Ningbin; Wang, Yi; Cui, Yong; Xiong, Kangning; Zhang, Yuming; Li, Sikang; Wang, Xin; Wang, Fei</t>
  </si>
  <si>
    <t>Collision behaviors of binary charged oil droplets in agglomeration pretreatment for purification</t>
  </si>
  <si>
    <t>oil droplet; electricity agglomeration; collision behaviors; purification</t>
  </si>
  <si>
    <t>FILTRATION PERFORMANCE; SPHERICAL-PARTICLES; FINE PARTICLES; COALESCENCE; BIPOLAR; SEPARATION; EFFICIENCY; PM2.5</t>
  </si>
  <si>
    <t>Purification of oil droplets is crucial for enhancing air quality in machining plants. However, the small particle size and high purification resistance of oil droplets present challenges. Electricity agglomeration pretreatment technology, which leverages strong inter-particle forces, improves the purification efficiency of small particles without increasing the resistance of purification equipment, showing significant application potential. This study numerically investigates the effectiveness of electricity agglomeration influenced by physical parameters (surface tension, droplet diameter) and collision parameters (collision velocity, collision angle) of oil droplets. Results indicate that surface tension and collision velocity are critical factors. When surface tension exceeds 20 mN/m, oil droplets are more likely to agglomerate upon collision. Additionally, increasing collision velocity leads to progressive destabilization of oil droplets. The critical velocities for agglomeration-separation and separation-fragmentation are identified as 8 m/s and 16 m/s, respectively. A Weber number (We)-collision angle map was constructed to represent the collision behaviors of oil droplets, revealing that at We &lt; 14.4, oil droplets agglomerate effectively after collision at any angle. This value is twice that of water droplets, indicating that oil droplets are more prone to agglomeration upon collision. These findings provide valuable insights for optimizing parameters in electrical agglomeration processes.</t>
  </si>
  <si>
    <t>[Yang, Yang; Wang, Yi; Xiong, Kangning] Xian Univ Architecture &amp; Technol, State Key Lab Green Bldg, Xian 710055, Peoples R China; [Cao, Qingfeng; Yang, Yang; Zhu, Ningbin; Wang, Yi; Cui, Yong; Xiong, Kangning; Zhang, Yuming; Li, Sikang] Xian Univ Architecture &amp; Technol, Sch Bldg Serv Sci &amp; Engn, Xian 710055, Peoples R China; [Wang, Xin; Wang, Fei] Univ Shanghai Sci &amp; Technol, Shanghai 200093, Peoples R China</t>
  </si>
  <si>
    <t>Xi'an University of Architecture &amp; Technology; Xi'an University of Architecture &amp; Technology; University of Shanghai for Science &amp; Technology</t>
  </si>
  <si>
    <t>Yang, Y (corresponding author), Xian Univ Architecture &amp; Technol, State Key Lab Green Bldg, Xian 710055, Peoples R China.;Yang, Y (corresponding author), Xian Univ Architecture &amp; Technol, Sch Bldg Serv Sci &amp; Engn, Xian 710055, Peoples R China.</t>
  </si>
  <si>
    <t>yangyang@xauat.edu.cn</t>
  </si>
  <si>
    <t>10.1007/s12273-024-1188-4</t>
  </si>
  <si>
    <t>WOS:001366241300001</t>
  </si>
  <si>
    <t>Zhao, ZM; Li, HX; Wang, SW</t>
  </si>
  <si>
    <t>Zhao, Zeming; Li, Hangxin; Wang, Shengwei</t>
  </si>
  <si>
    <t>The mutual impacts of individual building design and local microclimate in high-density cities and the major influential parameters</t>
  </si>
  <si>
    <t>building-microclimate interaction; urban microclimate; building energy performance; sensitivity analysis; building design</t>
  </si>
  <si>
    <t>URBAN HEAT-ISLAND; OUTDOOR THERMAL COMFORT; ASPECT RATIO; RESIDENTIAL BUILDINGS; SENSITIVITY-ANALYSIS; ENERGY PERFORMANCE; CONDENSING UNITS; AIR-CONDITIONERS; CLIMATE; VENTILATION</t>
  </si>
  <si>
    <t>Development of individual building in existing district is common in high-density cities due to the limited space. Such development affects the local microclimate naturally, but the interaction is ignored in current building design practices. In this study, a comprehensive and systematic analysis is conducted to investigate the mutual impacts between new individual building design and local microclimate considering the interaction, and to identify the major influential building parameters on both local microclimate and building energy performance in subtropical urban area. A large number of high-resolution microclimate and building simulations are performed based on advanced GIS spatial analysis techniques under different building designs for the assessment of mutual impacts. A global sensitivity analysis is conducted to identify the major influential building parameters. The results show that different building designs lead to significant variation of local wind velocity (i.e., -0.95 to +4.51 m/s) and air temperature (i.e., -0.60 to +1.17 K), while the local microclimate results in a change in the building energy consumption from -41.75 to 291.54 kJ/m2. The major influential parameters on both pedestrian thermal discomfort and building energy performance are building height and overall heat transfer coefficient of the building envelope. This study provides valuable references for new building or rebuilding design in order to facilitate carbon neutrality and enhance thermal comfort in urban area.</t>
  </si>
  <si>
    <t>[Zhao, Zeming; Li, Hangxin; Wang, Shengwei] Hong Kong Polytech Univ, Dept Bldg Environm &amp; Energy Engn, Hong Kong, Peoples R China; [Li, Hangxin] Hong Kong Polytech Univ, Shenzhen Res Inst, Shenzhen, Peoples R China; [Wang, Shengwei] Hong Kong Polytech Univ, Res Inst Smart Energy, Hong Kong, Peoples R China</t>
  </si>
  <si>
    <t>Hong Kong Polytechnic University; Hong Kong Polytechnic University; Hong Kong Polytechnic University</t>
  </si>
  <si>
    <t>Li, HX; Wang, SW (corresponding author), Hong Kong Polytech Univ, Dept Bldg Environm &amp; Energy Engn, Hong Kong, Peoples R China.;Li, HX (corresponding author), Hong Kong Polytech Univ, Shenzhen Res Inst, Shenzhen, Peoples R China.;Wang, SW (corresponding author), Hong Kong Polytech Univ, Res Inst Smart Energy, Hong Kong, Peoples R China.</t>
  </si>
  <si>
    <t>10.1007/s12273-024-1195-5</t>
  </si>
  <si>
    <t>WOS:001376271200001</t>
  </si>
  <si>
    <t>Zhan, SC; Zhu, MY; Cheng, SY; Chong, A</t>
  </si>
  <si>
    <t>Zhan, Sicheng; Zhu, Mingya; Cheng, Siyu; Chong, Adrian</t>
  </si>
  <si>
    <t>Bridging performance gap for existing buildings: The role of calibration and the cascading effect</t>
  </si>
  <si>
    <t>performance gap; model calibration; energy conservation measures; data requirements; energy prediction</t>
  </si>
  <si>
    <t>MODEL-PREDICTIVE CONTROL; ENERGY PERFORMANCE; SIMULATION; IDENTIFICATION</t>
  </si>
  <si>
    <t>Calibrating the building energy simulation (BES) models is a typical way to bridge energy performance gaps for existing buildings. Currently, evidence-based and data-driven calibration are both widely used and have their advantages and limitations. However, a systematic approach to combining the advantages of these two approaches has not been established. This study performed evidence-based and data-driven calibration consecutively using a real-world data-rich building, assuming different scenarios of data availability. 24 intermediate and ultimate models were obtained and comprehensively evaluated, by inspecting the calibrated parameters, calculating the predictive errors, and evaluating the energy conservation measures. It is shown that a satisfactory CV(RMSE) could be achieved even without any detailed evidence about the building, which was misleading due to the drifted parameter values. Accordingly, data acquisition recommendations were made considering the importance and acquisition costs. Moreover, despite similarly low errors, different models can estimate monthly energy savings and percentages with discrepancies exceeding 1000 kWh and 10%. Using a calibrated model without knowing the potential risk, the cascading performance gaps can lead to wrong decisions.</t>
  </si>
  <si>
    <t>[Zhan, Sicheng; Zhu, Mingya; Cheng, Siyu; Chong, Adrian] Natl Univ Singapore, Coll Design &amp; Engn, Dept Built Environm, 4 Architecture Dr, Singapore 117566, Singapore</t>
  </si>
  <si>
    <t>National University of Singapore</t>
  </si>
  <si>
    <t>Chong, A (corresponding author), Natl Univ Singapore, Coll Design &amp; Engn, Dept Built Environm, 4 Architecture Dr, Singapore 117566, Singapore.</t>
  </si>
  <si>
    <t>10.1007/s12273-024-1198-2</t>
  </si>
  <si>
    <t>WOS:001385003800001</t>
  </si>
  <si>
    <t>Wang, ZW; Xia, PH; Guo, JJ; Zhou, S; Wang, L; Wang, Y; Zhang, CX</t>
  </si>
  <si>
    <t>Wang, Zhanwei; Xia, Penghua; Guo, Jingjing; Zhou, Sai; Wang, Lin; Wang, Yu; Zhang, Chunxiao</t>
  </si>
  <si>
    <t>Efficient feature selection for enhanced chiller fault diagnosis: A multi-source ranking information-driven ensemble approach</t>
  </si>
  <si>
    <t>chiller; feature selection; fault diagnosis; multi-source ranking information; machine learning</t>
  </si>
  <si>
    <t>BUILDING SYSTEMS; MODEL; IMPLEMENTATION; CLASSIFICATION; NETWORK</t>
  </si>
  <si>
    <t>Fault diagnosis (FD) is essential for ensuring the reliable operation of chillers and preventing energy waste. Feature selection (FS) is a critical prerequisite for effective FD. However, current FS methods have two major gaps. First, most approaches rely on single-source ranking information (SSRI) to evaluate features individually, which results in non-robust outcomes across different models and datasets due to the one-sided nature of SSRI. Second, thermodynamic mechanism features are often overlooked, leading to incomplete initial feature libraries, making it challenging to select optimal features and achieve better diagnostic performance. To address these issues, a robust ensemble FS method based on multi-source ranking information (MSRI) is proposed. By employing an efficient strategy based on maximizing relevance while proper redundancy, the MSRI method fully leverages Mutual Information, Information Gain, Gain Ratio, Gini index, Chi-squared, and Relief-F from both qualitative and quantitative perspectives. Additionally, comprehensive consideration of thermodynamic mechanism features ensures a complete initial feature library. From a methodological standpoint, a general framework for constructing the MSRI-based FS method is provided. The proposed method is applied to chiller FD and tested across ten widely-used machine learning models. Thirteen optimized features are selected from the original set of forty-two, achieving an average diagnostic accuracy of 98.40% and an average F-measure above 94.94%, demonstrating the effectiveness and generalizability of the MSRI method. Compared to the SSRI approach, the MSRI method shows superior robustness, with the standard deviation of diagnostic accuracy reduced by 0.03 to 0.07 and an improvement in diagnostic accuracy ranging from 2.53% to 6.12%. Moreover, the MSRI method reduced computation time by 98.62% compared to wrapper methods, without sacrificing accuracy.</t>
  </si>
  <si>
    <t>[Wang, Zhanwei; Xia, Penghua; Guo, Jingjing; Zhou, Sai; Wang, Lin; Wang, Yu; Zhang, Chunxiao] Henan Univ Sci &amp; Technol, Inst Bldg Energy &amp; Thermal Sci, Luoyang 471023, Peoples R China; [Wang, Zhanwei; Xia, Penghua; Guo, Jingjing; Zhou, Sai; Wang, Lin; Wang, Yu; Zhang, Chunxiao] Henan Prov Engn Res Ctr Bldg Environm Control &amp; Sa, Luoyang 471023, Peoples R China</t>
  </si>
  <si>
    <t>Henan University of Science &amp; Technology</t>
  </si>
  <si>
    <t>Wang, ZW (corresponding author), Henan Univ Sci &amp; Technol, Inst Bldg Energy &amp; Thermal Sci, Luoyang 471023, Peoples R China.;Wang, ZW (corresponding author), Henan Prov Engn Res Ctr Bldg Environm Control &amp; Sa, Luoyang 471023, Peoples R China.</t>
  </si>
  <si>
    <t>wzhanwei@haust.edu.cn</t>
  </si>
  <si>
    <t>10.1007/s12273-024-1199-1</t>
  </si>
  <si>
    <t>WOS:001380886500001</t>
  </si>
  <si>
    <t>Ramirez, KG; Nuevo-Gallardo, C; Ulecia, JMS; Pozas, BM; Bandera, CF</t>
  </si>
  <si>
    <t>Guerrero Ramirez, Karla; Nuevo-Gallardo, Cristina; Santamaria Ulecia, Jesus Miguel; Montalban Pozas, Beatriz; Fernandez Bandera, Carlos</t>
  </si>
  <si>
    <t>Calibrated models for effective clustering: Discriminating operation schedules in occupied buildings</t>
  </si>
  <si>
    <t>calibrated models; white-box; cluster; schedule; free oscillation; load</t>
  </si>
  <si>
    <t>ENERGY PERFORMANCE; DIAGNOSIS</t>
  </si>
  <si>
    <t>European directives advocate for end-users to be aware of their energy consumption. However, individual energy monitoring tools, such as energy meters or cost allocators, are not always affordable or technically feasible to install. Therefore, the development of virtual tools that enable the study of energy consumption in existing buildings is necessary. Virtual sensors, particularly based on white-box models, offer the opportunity to recreate these behaviours. When calibrated with measured data, white-box models, which incorporate detailed building physics, become increasingly valuable for designing energy-efficient buildings. This research explores a novel approach to identifying building's load period directly from energy data generated by these calibrated models. The volume of data generated by white-box models can be overwhelming for visual analysis, but the hypothesis here is that analysing this data through clustering techniques can reveal patterns related to occupant behaviour and operational schedules. By feeding indoor temperature data into the calibrated model and analysing the resulting energy outputs, the research proposes a method to identify the heating, ventilation and air conditioning (HVAC) system operation schedule, free oscillation periods and non-recurrent events. Validation is achieved by comparing the identified periods with actual measured data. This methodology enables the development of a virtual sensor for cost allocation, which minimises the need for physical sensor deployment while complying with European Union directives. The research not only demonstrates high accuracy but also the potential to outperform measured schedule. This suggests the ability of the method to identify missing sensor data or other factors affecting temperature curves, enabling fault detection and diagnostics (FDD). Consequently, this opens doors for setting optimised operation schedules that balance energy efficiency with occupant comfort.</t>
  </si>
  <si>
    <t>[Guerrero Ramirez, Karla; Santamaria Ulecia, Jesus Miguel] Univ Navarra, Inst Biodivers &amp; Medioambiente BIOMA, Irunlarrea St 1, Pamplona 31008, Navarra, Spain; [Nuevo-Gallardo, Cristina] Univ Navarra, Sch Architecture, Univ St, Pamplona 31009, Spain; [Montalban Pozas, Beatriz; Fernandez Bandera, Carlos] Univ Extremadura, Sch Technol Caceres, Univ Av, Caceres 10003, Extremadura, Spain</t>
  </si>
  <si>
    <t>University of Navarra; University of Navarra; Universidad de Extremadura</t>
  </si>
  <si>
    <t>Ramirez, KG (corresponding author), Univ Navarra, Inst Biodivers &amp; Medioambiente BIOMA, Irunlarrea St 1, Pamplona 31008, Navarra, Spain.</t>
  </si>
  <si>
    <t>kguerrerora@unav.es</t>
  </si>
  <si>
    <t>10.1007/s12273-024-1200-z</t>
  </si>
  <si>
    <t>WOS:001379449800001</t>
  </si>
  <si>
    <t>Luo, LX; Wei, HL; Lin, ZQ; Wu, JY; Wang, W; Sun, YJ</t>
  </si>
  <si>
    <t>Luo, Linxi; Wei, Hailu; Lin, Ziqi; Wu, Jiyuan; Wang, Wei; Sun, Yongjun</t>
  </si>
  <si>
    <t>Multi-objective optimal energy-efficient retrofit determination using hybrid urban building energy model: Considering uncertainties between models</t>
  </si>
  <si>
    <t>urban building energy model; building retrofit; model uncertainty; machine learning; multi-objective optimization</t>
  </si>
  <si>
    <t>DATA-DRIVEN; SIMULATION; CONSUMPTION; FRAMEWORK; IMPACTS</t>
  </si>
  <si>
    <t>Typical energy-efficient retrofit studies based on urban building energy models face challenges in quickly obtaining appropriate retrofit solutions and often ignore the unexpected outcomes caused by inherent model uncertainty. To solve it, this study proposes a decision support framework that integrates a hybrid urban building energy model (UBEM) method, NSGA-II, and TOPSIS to obtain rapidly the optimal energy-efficient retrofit solutions that take into account model uncertainty. The study took the building groups in Sipailou campus as a case study and identified 76 stable solutions and 149 active solutions that minimize energy consumption, carbon emission, and life-cycle cost (LCC) over 30 years from 40,353,607 retrofit schemes. Key findings include that when considering model uncertainty, the quantities, types, and ranks of optimal retrofit solutions have changed. When the error of baseline UBEM validation is within +/- 5% and considering uncertainty transmission from energy simulation to ANN model, the energy-saving potential of optimal retrofit schemes has expanded from [63.78, 65.05]% to [60, 68.75]%, carbon-saving potential has shifted from [63.69, 64.09]% to [59.92, 67.79]%, and the LCC has changed from [-40.68, 14.59] x 106 to [-38.25, 16.97] x 106 Yuan. This study provides decision makers with a scientific approach to consider the potential uncertainties and risks associated with optimal retrofit solutions.</t>
  </si>
  <si>
    <t>[Luo, Linxi; Wei, Hailu; Lin, Ziqi; Wu, Jiyuan; Wang, Wei] Southeast Univ, Sch Architecture, Sipailou 2, Nanjing 210096, Peoples R China; [Wang, Wei] Southeast Univ, Minist Educ, Key Lab Urban &amp; Architectural Heritage Conservat, Nanjing, Peoples R China; [Sun, Yongjun] City Univ Hong Kong, Dept Architecture &amp; Civil Engn, Kowloon, Tat Chee Ave, Hong Kong, Peoples R China</t>
  </si>
  <si>
    <t>Southeast University - China; Southeast University - China; City University of Hong Kong</t>
  </si>
  <si>
    <t>Wang, W (corresponding author), Southeast Univ, Sch Architecture, Sipailou 2, Nanjing 210096, Peoples R China.;Wang, W (corresponding author), Southeast Univ, Minist Educ, Key Lab Urban &amp; Architectural Heritage Conservat, Nanjing, Peoples R China.;Sun, YJ (corresponding author), City Univ Hong Kong, Dept Architecture &amp; Civil Engn, Kowloon, Tat Chee Ave, Hong Kong, Peoples R China.</t>
  </si>
  <si>
    <t>weiwang@seu.edu.cn; yongjsun@cityu.edu.hk</t>
  </si>
  <si>
    <t>10.1007/s12273-024-1206-6</t>
  </si>
  <si>
    <t>WOS:001379409700001</t>
  </si>
  <si>
    <t>Zhang, S; Nie, ZC; Chen, SS; Zhao, LH</t>
  </si>
  <si>
    <t>Zhang, Shen; Nie, Zichuan; Chen, Sisi; Zhao, Lihua</t>
  </si>
  <si>
    <t>Adaptive blind control strategy based on iterative optimization to minimize cooling and lighting demands in office space</t>
  </si>
  <si>
    <t>adaptive control; iterative optimization; window blinds; building energy efficiency; visual comfort</t>
  </si>
  <si>
    <t>VENETIAN BLIND; PERFORMANCE</t>
  </si>
  <si>
    <t>The emergence of adaptive facades offers a new approach for buildings to enhance their resilience against external weather conditions while responding to occupants' demands, thereby improving both indoor environmental quality and energy performance. Appropriate control methods are crucial to achieving these purposes. However, most existing studies for automatic control of blinds have focused on visual comfort, leaving potential for further energy savings by reducing cooling and artificial lighting demands. Additionally, current optimization methods for slat angles are mostly simplified as a discrete process, neglecting the impact of thermal mass in building envelopes. Therefore, this paper aims to explore the energy reduction potential of window blinds by developing an iterative optimization method for devising hourly adaptive control strategies. To this end, a co-simulation platform between EnergyPlus and Python was established for the optimization and a case study in a subtropical city was conducted. The proposed strategies effectively balanced lighting and cooling demands to achieve an overall energy reduction of 7.3%-12.5% compared to reference cases while also ensuring visual comfort by mitigating glare risk and excessive daylight. These advantages were also compared with several simpler control scenarios, with analyses tailored to various glazing types and orientations. Furthermore, the optimal window configurations with blind control strategies for different orientations were determined. The findings also indicated that glass properties markedly impact the performance of control strategies, underscoring the necessity of holistically considering shading components and glazing types in the optimization to achieve optimal performance.</t>
  </si>
  <si>
    <t>[Zhang, Shen; Nie, Zichuan; Chen, Sisi; Zhao, Lihua] South China Univ Technol, Sch Architecture, State Key Lab Subtrop Bldg &amp; Urban Sci, Guangzhou 510640, Peoples R China</t>
  </si>
  <si>
    <t>South China University of Technology</t>
  </si>
  <si>
    <t>10.1007/s12273-024-1211-9</t>
  </si>
  <si>
    <t>WOS:001373991100001</t>
  </si>
  <si>
    <t>Kim, YJ; Waegel, A; Hakkarainen, M; Yi, YK; Braham, W</t>
  </si>
  <si>
    <t>Kim, You-Jeong; Waegel, Alexander; Hakkarainen, Max; Yi, Yun Kyu; Braham, William</t>
  </si>
  <si>
    <t>Understanding HVAC system runtime of US homes: An energy signature analysis using smart thermostat data</t>
  </si>
  <si>
    <t>data-driven modeling; HVAC system runtime; energy signature analysis; smart thermostat dataset; ecobee DYD</t>
  </si>
  <si>
    <t>THERMAL PERFORMANCE; PREDICTION; CLIMATE; IMPACT</t>
  </si>
  <si>
    <t>Heating, ventilation, and air conditioning system runtime is a crucial metric for establishing the connection between system operation and energy performance. Similar homes in the same location can have varying runtime due to different factors. To understand such heterogeneity, this study conducted an energy signature analysis of heating and cooling system runtime for 5,014 homes across the US&gt;using data from ecobee smart thermostats. Two approaches were compared for the energy signature analysis: (1) using daily mean outdoor temperature and (2) using the difference between the daily mean outdoor temperature and the indoor thermostat setpoint (delta T) as the independent variable. The best-fitting energy signature parameters (balance temperatures and slopes) for each house were estimated and statistically analyzed. The results revealed significant differences in balance temperatures and slopes across various climates and individual homes. Additionally, we identified the impact of housing characteristics and weather conditions on the energy signature parameters using a long absolute shrinkage and selection operator (LASSO) regression. Incorporating delta T into the energy signature model significantly enhances its ability to detect hidden impacts of various features by minimizing the influence of setpoint preferences. Moreover, our cooling slope analysis highlights the significant impact of outdoor humidity levels, underscoring the need to include latent loads in building energy models.</t>
  </si>
  <si>
    <t>[Kim, You-Jeong; Yi, Yun Kyu] Univ Illinois, Champaign, IL 61820 USA; [Waegel, Alexander; Hakkarainen, Max; Braham, William] Univ Penn, Philadelphia, PA 19104 USA</t>
  </si>
  <si>
    <t>University of Illinois System; University of Illinois Urbana-Champaign; University of Pennsylvania</t>
  </si>
  <si>
    <t>Yi, YK (corresponding author), Univ Illinois, Champaign, IL 61820 USA.</t>
  </si>
  <si>
    <t>ykyi@illinois.edu</t>
  </si>
  <si>
    <t>FEB</t>
    <phoneticPr fontId="2" type="noConversion"/>
  </si>
  <si>
    <t>10.1007/s12273-024-1203-9</t>
  </si>
  <si>
    <t>WOS:001360874600001</t>
  </si>
  <si>
    <t>Shen, PY; Wang, ML; Ma, H; Ma, N</t>
  </si>
  <si>
    <t>Shen, Pengyuan; Wang, Meilin; Ma, Hang; Ma, Nan</t>
  </si>
  <si>
    <t>On the two-way interactions of urban thermal environment and air pollution: A review of synergies for identifying climate-resilient mitigation strategies</t>
  </si>
  <si>
    <t>outdoor spaces; outdoor thermal comfort; urban overheating; air pollution; physics-based model; climate resilience</t>
  </si>
  <si>
    <t>HEAT-ISLAND MITIGATION; STREET CANYON; BOUNDARY-LAYER; NUMERICAL-SIMULATION; RELATIVE-HUMIDITY; PEDESTRIAN-LEVEL; ANTHROPOGENIC AEROSOLS; GREEN INFRASTRUCTURE; FLOW CHARACTERISTICS; CITY BREATHABILITY</t>
  </si>
  <si>
    <t>The urban environment is threatened by urban heat island (UHI) effect and air pollution events which have been worsened by population increase, heat waves, and wildfire smoke. It is important to understand that urban air quality and thermal environment are mutually dependent, meaning that the alteration in one can affect the other. This two-way interaction is described in our review through a detailed analysis of physics-based models and their synergistic processes. Then, drawing on the literature, we categorized mitigation plans into four major strategies: modification of urban morphology, integration of urban greenery, incorporation of water bodies, and utilization of cooling materials. The identified mitigation strategies were evaluated for their effectiveness in achieving various reduction targets, such as overheating, strong wind events, and gaseous and aerosol pollutants. These assessment results can be helpful in developing a practical guide for establishing climate-resilient buildings and cities. This study also conducts a co-benefits and conflicts analysis associated with these mitigation strategies, discussing their application potentials for designers, planners, and policymakers in preparing cities to become thermally resilient and healthy. The review emphasizes the need for the formulation of numerical coupling models that will address the thermo-pollutant coupling to better comprehend the magnitude of synergies.</t>
  </si>
  <si>
    <t>[Shen, Pengyuan] Tsinghua Univ, Shenzhen Int Grad Sch, Shenzhen 518055, Peoples R China; [Shen, Pengyuan; Wang, Meilin; Ma, Hang] Harbin Inst Technol, Shenzhen 518055, Peoples R China; [Ma, Nan] Worcester Polytech Inst, Dept Civil Environm &amp; Architectural Engn, Worcester, MA 01609 USA</t>
  </si>
  <si>
    <t>Tsinghua University; Harbin Institute of Technology; Worcester Polytechnic Institute</t>
  </si>
  <si>
    <t>Ma, N (corresponding author), Worcester Polytech Inst, Dept Civil Environm &amp; Architectural Engn, Worcester, MA 01609 USA.</t>
  </si>
  <si>
    <t>nma1@wpi.edu</t>
  </si>
  <si>
    <t>10.1007/s12273-024-1210-x</t>
  </si>
  <si>
    <t>WOS:001372648000001</t>
  </si>
  <si>
    <t>Wang, R; Xin, XY; Liu, JT; Lu, SL; Sun, YJ; Zhao, WD</t>
  </si>
  <si>
    <t>Wang, Ran; Xin, Xiaoyue; Liu, Jiatao; Lu, Shilei; Sun, Yongjun; Zhao, Wenduan</t>
  </si>
  <si>
    <t>Quantitative method and influencing factors analysis of demand response performance of air conditioning load with rebound effect</t>
  </si>
  <si>
    <t>demand response; air conditioning load; energy flexibility; rebound effect; parameter analysis; scenario analysis</t>
  </si>
  <si>
    <t>SENSITIVITY-ANALYSIS; ENERGY; FLEXIBILITY; BUILDINGS; SYSTEMS</t>
  </si>
  <si>
    <t>Under the emerging trend of the new power systems, enhancing the energy flexibility of air conditioning loads to promote electricity demand response is crucial for regulating the real-time balance. As a typical temperature-controlled loads, air conditioning loads can generate rebound effect when participating in demand response, resulting in sudden load increases and posing risks to grid security. However, the existing research mainly focuses on the energy flexibility, which leads to an imperfect demand response mechanism and thus affects the optimal scheduling strategy. Therefore, the study proposes a comprehensive quantification method in view of rebound effect for the demand response performance of air conditioning loads, by using probability distribution, Latin hypercube sampling, Monte Carlo simulation, and scenario analysis methods. The demand response event was divided into response phase and recovery phase, and by considering energy flexibility during the response phase and rebound effect during the recovery phase, three dimensionless evaluation indexes for comprehensive demand response performance were constructed. Using this quantification method, the impact patterns of three types of random variables were compared, including meteorological, design variables, and control variables. Additionally, considering the differences in building types (office and hotel buildings) and building capacities (small, medium, and large), the effectiveness of air conditioning load participation in demand response measures in different building application scenarios was explored. The results show that the influence of the design variables on the response performance is less than that of the control variables, but significant, reaching 45% compared to the control variables. Moreover, the influence varies with building type, capacity and climate zone, and building demand response design has more potential in the following scenarios: the cold climate, the hot summer and cold winter climate, the medium building and the hotel building.</t>
  </si>
  <si>
    <t>[Wang, Ran; Xin, Xiaoyue; Liu, Jiatao; Lu, Shilei; Zhao, Wenduan] Tianjin Univ, Sch Environm Sci &amp; Engn, Tianjin 300072, Peoples R China; [Wang, Ran; Xin, Xiaoyue; Liu, Jiatao; Lu, Shilei; Zhao, Wenduan] Tianjin Univ, Tianjin Key Lab Built Environm &amp; Energy Applicat, Tianjin, Peoples R China; [Wang, Ran; Sun, Yongjun] City Univ Hong Kong, Dept Architecture &amp; Civil Engn, Hong Kong, Peoples R China</t>
  </si>
  <si>
    <t>Tianjin University; Tianjin University; City University of Hong Kong</t>
  </si>
  <si>
    <t>Lu, SL (corresponding author), Tianjin Univ, Sch Environm Sci &amp; Engn, Tianjin 300072, Peoples R China.;Lu, SL (corresponding author), Tianjin Univ, Tianjin Key Lab Built Environm &amp; Energy Applicat, Tianjin, Peoples R China.;Sun, YJ (corresponding author), City Univ Hong Kong, Dept Architecture &amp; Civil Engn, Hong Kong, Peoples R China.</t>
  </si>
  <si>
    <t>lvshilei@tju.edu.cn; yongjsun@cityu.edu.hk</t>
  </si>
  <si>
    <t>10.1007/s12273-024-1208-4</t>
  </si>
  <si>
    <t>WOS:001379373900001</t>
  </si>
  <si>
    <t>Lu, J; Zheng, ZY; Zhang, CB; Zhao, Y; Feng, CX; Choudhary, R</t>
  </si>
  <si>
    <t>Lu, Jie; Zheng, Zeyu; Zhang, Chaobo; Zhao, Yang; Feng, Chenxin; Choudhary, Ruchi</t>
  </si>
  <si>
    <t>Graph convolutional networks-based method for uncertainty quantification of building design loads</t>
  </si>
  <si>
    <t>building design loads; uncertainty quantification; data-driven model; graph convolutional networks; Monte Carlo simulation</t>
  </si>
  <si>
    <t>ROBUST OPTIMAL-DESIGN; ENERGY-CONSUMPTION; COOLING SYSTEMS; SIMULATION; MODELS</t>
  </si>
  <si>
    <t>Uncertainty quantification of building design loads is essential to efficient and reliable building energy planning in the design stage. Current data-driven methods struggle to generalize across buildings with diverse shapes due to limitations in representing complex geometric structures. To tackle this issue, a graph convolutional networks (GCN)-based uncertainty quantification method is proposed. This graph-based approach is introduced to represent building shapes by dividing them into blocks and defining their spatial relationships through nodes and edges. The method effectively captures complex building characteristics, enhancing the generalization abilities. An approach leveraging GCN could estimate design loads by understanding the impact of diverse uncertain factors. Additionally, a class activation map is formulated to identify key uncertain factors, guiding the selection of important design parameters during the building design stage. The effectiveness of this method is evaluated through comparison with four widely-used data-driven techniques. Results indicate that the mean absolute percentage errors (MAPE) for statistical indicators of uncertainty quantification are under 6.0% and 4.0% for cooling loads and heating loads, respectively. The proposed method is demonstrated to quantify uncertainty in building design loads with outstanding generalization abilities. With regard to time costs, the computation time of the proposed method is reduced from 331 hours to 30 seconds for a twenty-floor building compared to a conventional physics-based method.</t>
  </si>
  <si>
    <t>[Lu, Jie; Zhao, Yang; Feng, Chenxin] Zhejiang Univ, Inst Refrigerat &amp; Cryogen, Hangzhou, Peoples R China; [Lu, Jie; Choudhary, Ruchi] Univ Cambridge, Dept Engn, Energy Efficient Cities Initiat, Cambridge, England; [Zheng, Zeyu] Zhejiang Univ, Dept Energy Engn, Hangzhou, Peoples R China; [Zhang, Chaobo] Eindhoven Univ Technol, Dept Built Environm, Eindhoven, Netherlands; [Zhao, Yang] Zhejiang Univ, Jiaxing Res Inst, Key Lab Clean Energy &amp; Carbon Neutral Zhejiang Pro, Jiaxing, Peoples R China; [Choudhary, Ruchi] Alan Turing Inst, Data Centr Engn, London, England</t>
  </si>
  <si>
    <t>Zhejiang University; University of Cambridge; Zhejiang University; Eindhoven University of Technology; Zhejiang University</t>
  </si>
  <si>
    <t>10.1007/s12273-024-1212-8</t>
  </si>
  <si>
    <t>WOS:001380030800001</t>
  </si>
  <si>
    <t>Ning, YC; Tang, ZX; Qi, RH</t>
  </si>
  <si>
    <t>Ning, Youchen; Tang, Zhixian; Qi, Ronghui</t>
  </si>
  <si>
    <t>Forced convection effects on desiccant evaporation and energy consumption assessment in liquid desiccant dehumidification systems</t>
  </si>
  <si>
    <t>desiccant regeneration; droplet evaporation; forced convection; liquid desiccant dehumidification; Marangoni effect</t>
  </si>
  <si>
    <t>Desiccant regeneration through saline evaporation is critical and major energy consumer in liquid desiccant dehumidification systems (LDDS) for indoor air conditioning. This study investigated the coupled heat and mass transfer behavior of saline droplet evaporation under forced convection, focusing on the enhancement effects of sweeping air (SA) and Marangoni effect. In-situ measurements and numerical simulations were performed, developing semi-empirical equations correlating evaporation rates with desiccant conditions and SA flowrates. By employing the equations considering SA's impact on regeneration temperature, EnergyPlus simulation was conducted to evaluate the energy consumption of a typical office building in Guangzhou equipped with a temperature-humidity-independent control system incorporating LDDS. Results showed that SA significantly lowered the temperature required for high evaporation rates. At desiccant temperature of above 70 degrees C, a strong thermal Marangoni effect resulted in enhanced evaporation, which increased with SA flowrates. At lower temperatures, forced convection still facilitates evaporation, though to a lesser extent, while also helping to prevent desiccant crystallization. EnergyPlus simulations revealed that if SA was incorporated into regeneration, substantial annual energy savings of up to 18.30% for LDDS can be achieved, with hourly savings ranging from 7.83 to 8.40 kW, peaking in August. Optimizing the SA flowrate is crucial, with ideal rates of around 3.5 m/s in high-humidity and 2.5 m/s in low-humidity conditions. This study deepens the understanding of non-isothermal droplet evaporation under forced convection, and establishes a significant bridge between saline evaporation and LDDS energy consumption assessment in practical buildings.</t>
  </si>
  <si>
    <t>[Ning, Youchen; Tang, Zhixian; Qi, Ronghui] South China Univ Technol, Sch Chem &amp; Chem Engn, Key Lab Enhanced Heat Transfer Energy &amp; Conservat, Guangzhou 510640, Peoples R China</t>
  </si>
  <si>
    <t>Qi, RH (corresponding author), South China Univ Technol, Sch Chem &amp; Chem Engn, Key Lab Enhanced Heat Transfer Energy &amp; Conservat, Guangzhou 510640, Peoples R China.</t>
  </si>
  <si>
    <t>Qirh@scut.edu.cn</t>
  </si>
  <si>
    <t>10.1007/s12273-024-1220-8</t>
  </si>
  <si>
    <t>WOS:001380928500001</t>
  </si>
  <si>
    <t>Zhou, Q; Zheng, Q; Ke, Y</t>
  </si>
  <si>
    <t>Zhou, Qin; Zheng, Qing; Ke, Ying</t>
  </si>
  <si>
    <t>Investigation of the total thermal resistance of children's bedding systems at various air temperatures and velocities using CFD analysis</t>
  </si>
  <si>
    <t>CFD simulation; air temperature; air velocity; sleeping position; bedding system; total thermal resistance</t>
  </si>
  <si>
    <t>SLEEPING ENVIRONMENTS; AGED CHILDREN; PREDICTION; PHYSIOLOGY; COMFORT; FLOW</t>
  </si>
  <si>
    <t>The total thermal resistance of bedding systems can be affected by environmental variables. A computational fluid dynamics (CFD) model of child manikin and duvet bedding system was developed to investigate the effects of air temperature (Tair, 5-25 degrees C) and air velocity (Vair, 0.2-1.0 m/s) on the total thermal resistance (Rt) of children's bedding systems composed of duvet with different total filling weights (w, 350-1000 g) in three sleep postures (P1, P2, and P3). Heat flux experiments were conducted to validate the CFD model. Results from the simulations indicated that a 1 degrees C rise in Tair led to a reduction in Rt by 0.09-0.11 clo. Furthermore, Rt decreases with the increase in Vair, and the reduction in Rt slows down as Vair increases. Variations in Tair and Vair had the most significant impact on Rt in the P2 sleep position and the least effect in the P3 sleep position. Based on the simulation results, a prediction equation for the Rt of the children's bedding systems was established. These research findings offer valuable insights into the scientific selection and design of children's bedding systems, which are crucial for improving children's sleep quality.</t>
  </si>
  <si>
    <t>[Zhou, Qin; Zheng, Qing] Jiangnan Univ, Sch Text Sci &amp; Engn, Wuxi 214122, Peoples R China; [Ke, Ying] Jiangnan Univ, Sch Digital Technol &amp; Innovat Design, Wuxi 214122, Peoples R China</t>
  </si>
  <si>
    <t>Ke, Y (corresponding author), Jiangnan Univ, Sch Digital Technol &amp; Innovat Design, Wuxi 214122, Peoples R China.</t>
  </si>
  <si>
    <t>keying@jiangnan.edu.cn</t>
  </si>
  <si>
    <t>10.1007/s12273-024-1215-5</t>
  </si>
  <si>
    <t>WOS:001382805300001</t>
  </si>
  <si>
    <t>Yang, Q; Dubey, RK; Kalantari, S</t>
  </si>
  <si>
    <t>Yang, Qi; Dubey, Rohit K.; Kalantari, Saleh</t>
  </si>
  <si>
    <t>PATH-U: A data-driven agent-based wayfinding model incorporating perceived path uncertainty and cognitive strategies in unfamiliar indoor environments</t>
  </si>
  <si>
    <t>perceived path uncertainty; indoor wayfinding; data-driven agent; cognitive agent; simulation</t>
  </si>
  <si>
    <t>EVACUATION; SIMULATION; SELECTION; SIGNAGE</t>
  </si>
  <si>
    <t>As built environments become more complex, indoor wayfinding challenges increase, especially for first-time visitors. Effective wayfinding design and signage are crucial for helping people reach their destinations. Occupant simulations can analyze these features before construction and identify potential issues. However, current models for human wayfinding in unfamiliar environments are limited and rarely predict continuous experiences like perceived path uncertainty. This study developed an integrated agent-based model called PATH-U, which simulates multi-floor wayfinding tasks without prior knowledge of the environment and provides feedback on uncertainty levels. This model is based on an observational study with 39 participants completing 273 wayfinding tasks in a complex university building. We developed a path-planning model incorporating visual perception, natural movements, short-term memory, heuristic strategies, and a data-driven multiple linear regression model for uncertainty prediction based on data from 28 participants. Validation with data from 11 participants under a different signage condition shows that the model mostly mirrors human wayfinding behavior and perceived uncertainty, with a few notable discrepancies. The findings suggest that wayfinding design should consider spatial dimensions, confirmational signage, and enhanced cues at crucial intersections to reduce uncertainty and improve performance. Future simulations should incorporate on-route behaviors and environmental reasoning.</t>
  </si>
  <si>
    <t>[Yang, Qi; Kalantari, Saleh] Cornell Univ, Design &amp; Augmented Intelligence DAIL Lab, Ithaca, NY 14850 USA; [Dubey, Rohit K.] Eidgenoss TH ETH Zurich, Ramistr 101, CH-8092 Zurich, Switzerland</t>
  </si>
  <si>
    <t>Cornell University</t>
  </si>
  <si>
    <t>Kalantari, S (corresponding author), Cornell Univ, Design &amp; Augmented Intelligence DAIL Lab, Ithaca, NY 14850 USA.</t>
  </si>
  <si>
    <t>sk3268@cornell.edu</t>
  </si>
  <si>
    <t>10.1007/s12273-024-1217-3</t>
  </si>
  <si>
    <t>WOS:001381626000001</t>
  </si>
  <si>
    <t>Zhao, Y; Xiong, C; Luo, ZW; Hussein, T; Zhao, TY</t>
  </si>
  <si>
    <t>Zhao, Yu; Xiong, Chang; Luo, Zhiwen; Hussein, Tareq; Zhao, Tianyi</t>
  </si>
  <si>
    <t>The impact of human-induced turbulence on indoor thermal environment and pollutant diffusion</t>
  </si>
  <si>
    <t>human-induced turbulence; wind-heat environment; carbon dioxide; aerosol particles; computational fluid dynamics (CFD); pollutant dispersion</t>
  </si>
  <si>
    <t>DYNAMIC AIR-FLOW; HUMAN MOVEMENT; CFD ANALYSIS; WAKE FLOW; SIMULATIONS; PARTICLES; BODY</t>
  </si>
  <si>
    <t>Turbulence induced by human movement is thought to affect the dispersion of pollutants in indoor environments. In this study, eight classical crowd scenarios were numerically simulated to investigate the effects of human movement on indoor air pollution in different scenarios. High-level simulations were performed into human movement, respiration, and heat dissipation, and differential analyses of the simulation results for different flow scenarios were conducted to investigate the interactions between individuals. Research has shown that people walking create significant wake currents within approximately 1.1 m on either side of their path and within 3-4 m behind them. When two pedestrians crossed paths, the wind speed increased significantly to 1.87 m/s compared with a single person walking at 1 m/s. The greatest mutual interference in pollutant distribution occurs when two individual cross paths are perpendicular, with a critical interference distance threshold of 2.87 m. Carbon dioxide concentrations fluctuate, surpassing 1,000 ppm within ten minutes at a density of 1.52 persons per square meter. Additionally, the dispersion of aerosol particles is significantly influenced by the relative direction of movement between individuals and pollutant sources. Calculated safe distance to avoid inhalation of exhaled aerosols in short flow exposure scenarios is at least 3.4 m. The personnel wake disturbance intensity was defined based on the rate of change in the velocity amplitude in the personnel wake region, the wake deformation rate, and the dissipation time. These insights can guide improvements in indoor air quality and health risk reduction in densely populated spaces.</t>
  </si>
  <si>
    <t>[Zhao, Yu; Xiong, Chang; Zhao, Tianyi] Dalian Univ Technol, Sch Infrastruct Engn, Dalian 11600, Peoples R China; [Luo, Zhiwen] Cardiff Univ, Welsh Sch Architecture, Cardiff CF10 3AT, Wales; [Hussein, Tareq] Univ Helsinki, Inst Atmospher &amp; Earth Syst Res INAR Phys, Fac Sci, FI-0014 Helsinki, Finland; [Hussein, Tareq] Univ Jordan, Sch Sci, Dept Phys, Environm &amp; Atmospher Res Lab EARL, Amman 11942, Jordan</t>
  </si>
  <si>
    <t>Dalian University of Technology; Cardiff University; University of Helsinki; University of Jordan</t>
  </si>
  <si>
    <t>Zhao, TY (corresponding author), Dalian Univ Technol, Sch Infrastruct Engn, Dalian 11600, Peoples R China.</t>
  </si>
  <si>
    <t>MAR</t>
    <phoneticPr fontId="2" type="noConversion"/>
  </si>
  <si>
    <t>10.1007/s12273-024-1196-4</t>
  </si>
  <si>
    <t>WOS:001382794900001</t>
  </si>
  <si>
    <t>建筑碳排放</t>
    <phoneticPr fontId="2" type="noConversion"/>
  </si>
  <si>
    <t>极端气候</t>
    <phoneticPr fontId="2" type="noConversion"/>
  </si>
  <si>
    <t>极端气候</t>
    <phoneticPr fontId="2" type="noConversion"/>
  </si>
  <si>
    <t>交通</t>
    <phoneticPr fontId="2" type="noConversion"/>
  </si>
  <si>
    <t>交通</t>
    <phoneticPr fontId="2" type="noConversion"/>
  </si>
  <si>
    <t>视觉</t>
    <phoneticPr fontId="2" type="noConversion"/>
  </si>
  <si>
    <t>视觉</t>
    <phoneticPr fontId="2" type="noConversion"/>
  </si>
  <si>
    <t>Article</t>
    <phoneticPr fontId="2" type="noConversion"/>
  </si>
  <si>
    <t>Article</t>
    <phoneticPr fontId="2" type="noConversion"/>
  </si>
  <si>
    <t>Article</t>
    <phoneticPr fontId="2" type="noConversion"/>
  </si>
  <si>
    <t>Developing an integrated prediction model for daylighting, thermal comfort, and energy consumption in residential buildings based on the stacking ensemble learning algorithm</t>
    <phoneticPr fontId="2" type="noConversion"/>
  </si>
  <si>
    <t>Article</t>
    <phoneticPr fontId="2" type="noConversion"/>
  </si>
  <si>
    <t>Article</t>
    <phoneticPr fontId="2" type="noConversion"/>
  </si>
  <si>
    <t>JAN</t>
    <phoneticPr fontId="2" type="noConversion"/>
  </si>
  <si>
    <t>Article</t>
    <phoneticPr fontId="2" type="noConversion"/>
  </si>
  <si>
    <t>JAN</t>
    <phoneticPr fontId="2" type="noConversion"/>
  </si>
  <si>
    <t>JAN</t>
    <phoneticPr fontId="2" type="noConversion"/>
  </si>
  <si>
    <t>Article</t>
    <phoneticPr fontId="2" type="noConversion"/>
  </si>
  <si>
    <t>JAN</t>
    <phoneticPr fontId="2" type="noConversion"/>
  </si>
  <si>
    <t>JAN</t>
    <phoneticPr fontId="2" type="noConversion"/>
  </si>
  <si>
    <t>Article</t>
    <phoneticPr fontId="2" type="noConversion"/>
  </si>
  <si>
    <t>FEB</t>
    <phoneticPr fontId="2" type="noConversion"/>
  </si>
  <si>
    <t>Review</t>
    <phoneticPr fontId="2" type="noConversion"/>
  </si>
  <si>
    <t>FEB</t>
    <phoneticPr fontId="2" type="noConversion"/>
  </si>
  <si>
    <t>Article</t>
    <phoneticPr fontId="2" type="noConversion"/>
  </si>
  <si>
    <t>Article</t>
    <phoneticPr fontId="2" type="noConversion"/>
  </si>
  <si>
    <t>FEB</t>
    <phoneticPr fontId="2" type="noConversion"/>
  </si>
  <si>
    <t>农村</t>
    <phoneticPr fontId="2" type="noConversion"/>
  </si>
  <si>
    <t>服装隔热性</t>
    <phoneticPr fontId="2" type="noConversion"/>
  </si>
  <si>
    <r>
      <rPr>
        <sz val="10"/>
        <rFont val="宋体"/>
        <family val="3"/>
        <charset val="134"/>
      </rPr>
      <t>半</t>
    </r>
    <r>
      <rPr>
        <sz val="10"/>
        <rFont val="Arial"/>
        <family val="2"/>
      </rPr>
      <t>/</t>
    </r>
    <r>
      <rPr>
        <sz val="10"/>
        <rFont val="宋体"/>
        <family val="3"/>
        <charset val="134"/>
      </rPr>
      <t>可挥发性有机物</t>
    </r>
    <phoneticPr fontId="2" type="noConversion"/>
  </si>
  <si>
    <t>large-scale open space</t>
    <phoneticPr fontId="2" type="noConversion"/>
  </si>
  <si>
    <t>微小空间</t>
    <phoneticPr fontId="2" type="noConversion"/>
  </si>
  <si>
    <t>湍流模型</t>
    <phoneticPr fontId="2" type="noConversion"/>
  </si>
  <si>
    <t>原型建筑模型</t>
    <phoneticPr fontId="2" type="noConversion"/>
  </si>
  <si>
    <t>prototype building models</t>
    <phoneticPr fontId="2" type="noConversion"/>
  </si>
  <si>
    <t>城市碳排放</t>
    <phoneticPr fontId="2" type="noConversion"/>
  </si>
  <si>
    <t>Extreme weather</t>
  </si>
  <si>
    <t>traffic</t>
  </si>
  <si>
    <t>vision</t>
  </si>
  <si>
    <t>Urban carbon emissions</t>
  </si>
  <si>
    <t>负荷监测</t>
    <phoneticPr fontId="2" type="noConversion"/>
  </si>
  <si>
    <t>Load monitoring</t>
  </si>
  <si>
    <t>Building carbon emissions</t>
  </si>
  <si>
    <t>Developing modified k-ε turbulence models for neutral atmospheric boundary layer flow simulation using OpenFOAM</t>
    <phoneticPr fontId="2" type="noConversion"/>
  </si>
  <si>
    <t>turbulence models</t>
  </si>
  <si>
    <t>高纬度建筑</t>
    <phoneticPr fontId="2" type="noConversion"/>
  </si>
  <si>
    <t>Exploring GPU acceleration framework for climate based daylight modeling</t>
    <phoneticPr fontId="2" type="noConversion"/>
  </si>
  <si>
    <t>GPU accelerate</t>
    <phoneticPr fontId="2" type="noConversion"/>
  </si>
  <si>
    <t>Predicting the clothing insulation through machine learning algorithms: A comparative analysis and a practical approach</t>
    <phoneticPr fontId="2" type="noConversion"/>
  </si>
  <si>
    <t>clothing insulation</t>
  </si>
  <si>
    <t>Identification of rural courtyards' utilization status using deep learning and machine learning methods on unmanned aerial vehicle images in north China</t>
    <phoneticPr fontId="2" type="noConversion"/>
  </si>
  <si>
    <t>rural</t>
  </si>
  <si>
    <t>Lighting prediction</t>
  </si>
  <si>
    <t>采光预测</t>
    <phoneticPr fontId="2" type="noConversion"/>
  </si>
  <si>
    <t>采光预测</t>
    <phoneticPr fontId="2" type="noConversion"/>
  </si>
  <si>
    <t>VOC/SVOCs</t>
    <phoneticPr fontId="2" type="noConversion"/>
  </si>
  <si>
    <t>半 /可挥发性有机物</t>
    <phoneticPr fontId="2" type="noConversion"/>
  </si>
  <si>
    <t>原型建筑模型</t>
    <phoneticPr fontId="2" type="noConversion"/>
  </si>
  <si>
    <t>prototype building models</t>
    <phoneticPr fontId="2" type="noConversion"/>
  </si>
  <si>
    <t>Li, X; Liu, JZ; Zhang, RP; Jareemit, D; Liu, JY</t>
  </si>
  <si>
    <t>Li, Xu; Liu, Jizhou; Zhang, Rongpeng; Jareemit, Daranee; Liu, Jiying</t>
  </si>
  <si>
    <t>Interactive effects of deciduous tree and evergreen shrub configurations on pedestrian thermal comfort and pollutant exposure within winter street canyons</t>
  </si>
  <si>
    <t>vegetation configuration; comprehensive environmental score; street canyon; thermal comfort; pollutant exposure</t>
  </si>
  <si>
    <t>AIR-POLLUTION; INTAKE FRACTION; URBAN; SIMULATIONS; DEPOSITION; VEGETATION; IMPACT</t>
  </si>
  <si>
    <t>Proper vegetation configurations have been demonstrated to enhance pedestrian thermal comfort and reduce exposure to pollutants in street canyons. However, few studies of canyon environments focus on sidewalks and non-motorized vehicle lanes and lack evaluation methods that integrate thermal comfort and pollutant exposure. Therefore, this study investigated the effects of different vegetation configurations on street canyon air temperature (Ta) and PM2.5 concentration (Cpm2.5) distributions under different aspect ratios (AR, H/W = 0.5, 1.0, 1.5) by coupling turbulence and radiation processes. Subsequently, mean Ta and Cpm2.5 were calculated for sidewalks and non-motorized vehicle lanes, and the universal thermal climate index (UTCI) and personal intake fraction (P_IF) were calculated based on these data. Finally, UTCI and P_IF were subjected to cluster analysis and technique for order preference by similarity to ideal solution (TOPSIS) evaluation to derive the street canyon comprehensive environmental score (CES). The results of the study showed that in narrow street canyons in winter, the effect of vegetation configuration on thermal comfort was limited, whereas in wide street canyons, the shading effect of deciduous trees could not be ignored. In the absence of shrubs, pedestrians were exposed to a 10%-20% increase in pollutant risk. Therefore, the deciduous trees + evergreen shrubs strategy can offer an effective pathway toward concurrently enhancing pedestrian thermal comfort and mitigating pollutant exposure within the specific context of winter street canyons in cold regions.</t>
  </si>
  <si>
    <t>[Li, Xu; Liu, Jizhou; Liu, Jiying] Shandong Jianzhu Univ, Sch Thermal Engn, Jinan 250101, Peoples R China; [Zhang, Rongpeng] Hunan Univ, Sch Architecture &amp; Planning, Changsha 410082, Peoples R China; [Jareemit, Daranee] Thammasat Univ, Fac Architecture &amp; Planning, Rangsit Campus, Pathum Thani 12121, Thailand</t>
  </si>
  <si>
    <t>Shandong Jianzhu University; Hunan University; Thammasat University</t>
  </si>
  <si>
    <t>Liu, JY (corresponding author), Shandong Jianzhu Univ, Sch Thermal Engn, Jinan 250101, Peoples R China.</t>
  </si>
  <si>
    <t>JXL83@sdjzu.edu.cn</t>
  </si>
  <si>
    <t>10.1007/s12273-025-1369-9</t>
  </si>
  <si>
    <t>DEC 2025</t>
  </si>
  <si>
    <t>WOS:001648937900001</t>
  </si>
  <si>
    <t>Zhang, Y; Li, J; Gang, WJ; Dong, SK; Hao, XX; Tu, ZK</t>
  </si>
  <si>
    <t>Zhang, Ying; Li, Ji; Gang, Wenjie; Dong, Shukun; Hao, Xiuxia; Tu, Zhengkai</t>
  </si>
  <si>
    <t>An unsupervised method of HVAC energy disaggregation and demand response potential estimation</t>
  </si>
  <si>
    <t>demand response; load disaggregation; unsupervised; energy data; HVAC; flexibility</t>
  </si>
  <si>
    <t>COMMERCIAL BUILDINGS; THERMAL COMFORT; FLEXIBILITY; MODEL</t>
  </si>
  <si>
    <t>The heating, ventilation, and air conditioning (HVAC) system is a promising flexibility resource for building energy management and grid stability. Quantitatively assessing HVAC demand response (DR) potential is crucial for integrating buildings into DR programs. However, utilities and load aggregators typically only have total building energy data, making HVAC energy disaggregation challenging. This study proposes an unsupervised and hybrid time-frequency domain decomposition method (MSTL-VMD) to disaggregate HVAC energy from total consumption and an improved equivalent thermal parameter model to quantify DR potential while considering outdoor weather, indoor environment, and occupant comfort. The effectiveness of the proposed method is verified based on historical data from 10 office buildings over 3 years. The results indicate that the HVAC energy can be accurately disaggregated using the MSTL-VMD method with NRMSE of 2.4%-12.6%. The proposed equivalent thermal parameter model can realize HVAC energy regression with an R2 value exceeding 0.8 for 80% of cases. A 1 degrees C indoor temperature increase results in energy savings of 7.3%-18.4% over the summer. The proposed method provides utilities and load aggregators with an effective and practical technique to quantify HVAC DR potential, enabling the development of optimal energy management strategies to enhance energy system resilience and efficiency.</t>
  </si>
  <si>
    <t>[Zhang, Ying; Gang, Wenjie; Dong, Shukun; Hao, Xiuxia] Huazhong Univ Sci &amp; Technol, Sch Environm Sci &amp; Engn, Wuhan 430074, Peoples R China; [Zhang, Ying; Gang, Wenjie] Huazhong Univ Sci &amp; Technol, Sch Environm Sci &amp; Engn, Hubei Key Lab Multimedia Pollut Cooperat Control Y, Wuhan 430074, Peoples R China; [Li, Ji] Inst Bldg Environm &amp; Energy, China Acad Bldg Res, Beijing 100013, Peoples R China; [Tu, Zhengkai] Huazhong Univ Sci &amp; Technol, Sch Energy &amp; Power Engn, Wuhan 430074, Peoples R China</t>
  </si>
  <si>
    <t>Huazhong University of Science &amp; Technology; Huazhong University of Science &amp; Technology; Huazhong University of Science &amp; Technology</t>
  </si>
  <si>
    <t>Gang, WJ (corresponding author), Huazhong Univ Sci &amp; Technol, Sch Environm Sci &amp; Engn, Wuhan 430074, Peoples R China.;Gang, WJ (corresponding author), Huazhong Univ Sci &amp; Technol, Sch Environm Sci &amp; Engn, Hubei Key Lab Multimedia Pollut Cooperat Control Y, Wuhan 430074, Peoples R China.</t>
  </si>
  <si>
    <t>gangwenjie@hust.edu.cn</t>
  </si>
  <si>
    <t>10.1007/s12273-025-1367-y</t>
  </si>
  <si>
    <t>WOS:001648960200001</t>
  </si>
  <si>
    <t>Xie, H; Zhang, P; Li, S; Li, Y; Zhang, Q</t>
  </si>
  <si>
    <t>Xie, Hao; Zhang, Pei; Li, Sui; Li, Yang; Zhang, Qi</t>
  </si>
  <si>
    <t>Reinforcement learning-driven natural ventilation optimization: Reducing respiratory infection risks through adaptive window control in hospital wards of LMICs</t>
  </si>
  <si>
    <t>reinforcement learning (RL); natural ventilation optimization; adaptive window control; hospital wards; infection prevention and control (IPC); low- and middle-income countries (LMICs)</t>
  </si>
  <si>
    <t>MIDDLE-INCOME COUNTRIES; PREVENTION; TRANSMISSION; MODEL</t>
  </si>
  <si>
    <t>Respiratory tract infections (RTIs) pose a significant threat to human health. Inpatient wards face greater risks of RTIs than restricted or public areas in healthcare facilities. While mechanical or hybrid ventilation systems meet the stringent infection prevention and control (IPC) standards required for inpatient wards, natural ventilation remains the preferred option in low- and middle-income countries (LMICs) due to resource limitations. This paper employed reinforcement learning (RL) to actively control the opening and closing behavior of sliding windows in inpatient wards using a single-sided, single-opening natural ventilation strategy. Simulations were conducted in Guangzhou and Kunming, two Chinese cities with climates suitable for natural ventilation, to compare four window operation strategies: RL-based operation, always open windows, always closed windows, and random operation. Monthly simulations and annual simulations revealed that the RL-based window operation strategy effectively regulates comfort and IPC metrics. This approach enhances natural ventilation's potential, reducing technical complexity, capital costs, and energy consumption. It is thus an ideal solution for hospital wards in LMICs during design or renovation phases.</t>
  </si>
  <si>
    <t>[Xie, Hao; Li, Sui; Li, Yang] Northeastern Univ, Jangho Architecture Coll, Shenyang 110169, Peoples R China; [Zhang, Pei] Northeastern Univ, Coll Informat Sci &amp; Engn, Shenyang 110819, Peoples R China; [Zhang, Qi] Shenyang Mental Hlth Ctr, Adm Off, Shenyang 110168, Peoples R China</t>
  </si>
  <si>
    <t>Northeastern University - China; Northeastern University - China</t>
  </si>
  <si>
    <t>Zhang, Q (corresponding author), Shenyang Mental Hlth Ctr, Adm Off, Shenyang 110168, Peoples R China.</t>
  </si>
  <si>
    <t>qizhangsy@sina.com</t>
  </si>
  <si>
    <t>10.1007/s12273-025-1360-5</t>
  </si>
  <si>
    <t>WOS:001644206800001</t>
  </si>
  <si>
    <t>Guo, SJ; Li, QL; Liang, LF; Zhou, XJ; Yu, T; Long, ZW</t>
  </si>
  <si>
    <t>Guo, Shaojie; Li, Qianlong; Liang, Linfeng; Zhou, Xiaojie; Yu, Tao; Long, Zhengwei</t>
  </si>
  <si>
    <t>A study on bidirectional coupling simulation methods for thermal comfort in cabin environments under solar radiation conditions</t>
  </si>
  <si>
    <t>coupling simulation; solar radiation; cabin; thermophysiological model; thermal psychological model; CFD</t>
  </si>
  <si>
    <t>HEAT-TRANSFER; MODEL; TEMPERATURE; SENSATION; STATE</t>
  </si>
  <si>
    <t>Accurate thermal comfort simulation methods can significantly enhance both the effectiveness and efficiency of cabin thermal comfort design. However, current thermal comfort simulation methods often overlook the interaction between environmental factors and human physiological responses, particularly in the context of cabin thermal comfort simulations under solar radiation conditions, where there is a lack of standardized approaches. This study establishes a bidirectional coupling simulation framework that incorporates the interaction between environmental factors and human physiological regulation. The proposed method integrates CFD, thermophysiological models, and thermal psychological models. Specifically, the thermophysiological component of the framework compares three models: the JOS-3 model, the Fiala model, and the TCM model. The thermal psychological model utilizes the Berkeley model. The computational accuracy of the proposed bidirectional coupling simulation framework is evaluated under both steady-state office environments and transient outdoor parking cases. Furthermore, the simulation results are compared with those obtained from three uncoupled thermal comfort evaluation models-PMV, DTS, and Lai's model-under transient environmental conditions. The results demonstrate that the CFD-JOS3-Berkeley bidirectional coupling simulation method achieves the lowest prediction error for both local and mean skin temperatures. Its overall thermal sensation prediction accuracy is superior to other thermal comfort evaluation methods, improving by 5.16, 3.91 and 3.75 times compared to non-coupled thermal comfort evaluation models PMV, DTS, and Lai's. The study further highlights that coupled simulation calculations should prioritize the use of local thermal insulation values as inputs to human thermophysiological models, with special emphasis on core body regions and exposed skin areas such as the head, hands, and lower legs in summer conditions. This research establishes a high-precision thermal comfort simulation method suitable for transient cabin environments under solar radiation, offering a reliable tool for evaluating cabin thermal comfort.</t>
  </si>
  <si>
    <t>[Guo, Shaojie; Li, Qianlong; Liang, Linfeng; Long, Zhengwei] Tianjin Univ, Sch Environm Sci &amp; Engn, Tianjin Key Lab Indoor Air Environm Qual Control, Tianjin 300072, Peoples R China; [Zhou, Xiaojie] Qingdao Univ Technol, Sch Environm &amp; Municipal Engn, Qingdao 266033, Peoples R China; [Yu, Tao] Wuhan Second Ship Design &amp; Res Inst, Wuhan, Peoples R China</t>
  </si>
  <si>
    <t>Tianjin University; Qingdao University of Technology</t>
  </si>
  <si>
    <t>Long, ZW (corresponding author), Tianjin Univ, Sch Environm Sci &amp; Engn, Tianjin Key Lab Indoor Air Environm Qual Control, Tianjin 300072, Peoples R China.;Yu, T (corresponding author), Wuhan Second Ship Design &amp; Res Inst, Wuhan, Peoples R China.</t>
  </si>
  <si>
    <t>yut04@163.com; longzw@tju.edu.cn</t>
  </si>
  <si>
    <t>10.1007/s12273-025-1357-0</t>
  </si>
  <si>
    <t>WOS:001640936600001</t>
  </si>
  <si>
    <t>Wu, Y; Malik, J; Hong, TZ; Kilic, E; Vaidya, P; Yan, D; Gadgil, A</t>
  </si>
  <si>
    <t>Wu, Yi; Malik, Jeetika; Hong, Tianzhen; Kilic, Elif; Vaidya, Prasad; Yan, Da; Gadgil, Ashok</t>
  </si>
  <si>
    <t>Evaluating indoor thermal resilience of passive and low-power cooling shelters for outdoor workers in India</t>
  </si>
  <si>
    <t>cooling shelter; building performance simulation; thermal resilience; outdoor worker; heat waves</t>
  </si>
  <si>
    <t>BULB GLOBE TEMPERATURE; INDEX</t>
  </si>
  <si>
    <t>India's 231 million outdoor workers are exposed to deadly heat during heat waves. We report results from a simulation-based study that focuses on passive design of cooling shelters for the hot and dry climate zone of India. The goal is to design a cooler-than-outdoor shelter for outdoor workers' intermittent rest and recovery from heat stress during their arduous outdoor work, to avoid heat-related morbidities and mortality. Expected indoor thermal conditions in low-cost cooling shelters deploying a range of passive designs and low-power active measures are investigated, consistent with the current Indian standards and practices, located in the city of Jodhpur in western India. Heat resilience of the shelter was measured with the predicted reduction of hazardous hours inside the shelter based on the wet-bulb globe temperature (WBGT) and extended heat index. These measures include improving the building envelope, installing cool roofs, using internal thermal mass, and natural ventilation. Additionally, a low-power active measure of using ventilation fans and ceiling fans is explored. EnergyPlus-based simulation results show that simple, commonly available measures, particularly natural ventilation and ceiling fans, achieve the most significant reductions in overheating danger hours, by 22% and 21%, respectively, while more complex or costly passive strategies yield only marginal additional benefits. Moreover, combined measure packages are identified that can reduce the indoor WBGT by 8 to 10 degrees C, eliminating overheating danger hours. These findings highlight the critical importance of scalable, low-cost, and easily deployable cooling solutions for developing resilient cooling shelters for vulnerable outdoor workers during heat waves in India.</t>
  </si>
  <si>
    <t>[Wu, Yi; Yan, Da] Tsinghua Univ, Sch Architecture, Beijing, Peoples R China; [Wu, Yi; Malik, Jeetika; Hong, Tianzhen] Lawrence Berkeley Natl Lab, Bldg Technol &amp; Urban Syst Div, Berkeley, CA USA; [Kilic, Elif; Gadgil, Ashok] Univ Calif Berkeley, Dept Civil &amp; Environm Engn, Berkeley, CA 94720 USA; [Vaidya, Prasad] Indian Inst Human Settlements, Bengaluru 560080, Karnataka, India</t>
  </si>
  <si>
    <t>Tsinghua University; United States Department of Energy (DOE); Lawrence Berkeley National Laboratory; University of California System; University of California Berkeley; Indian Institute for Human Settlements (IIHS)</t>
  </si>
  <si>
    <t>Gadgil, A (corresponding author), Univ Calif Berkeley, Dept Civil &amp; Environm Engn, Berkeley, CA 94720 USA.</t>
  </si>
  <si>
    <t>ajgadgil@berkeley.edu</t>
  </si>
  <si>
    <t>10.1007/s12273-025-1391-y</t>
  </si>
  <si>
    <t>WOS:001639782900001</t>
  </si>
  <si>
    <t>Yu, YY; Liu, LM; Wang, X; Li, Y; Gao, JJ; Li, GN; Li, T</t>
  </si>
  <si>
    <t>Yu, Yingying; Liu, Lamei; Wang, Xing; Li, Yang; Gao, Jiajia; Li, Guannan; Li, Tao</t>
  </si>
  <si>
    <t>Prediction of campus office occupancy and AC behavior based on Transformer and the collective impact on energy consumption</t>
  </si>
  <si>
    <t>air-conditioning on/off behavior; control strategy; multi-sensor fusion; occupancy; Transformer</t>
  </si>
  <si>
    <t>SIMULATION; BUILDINGS; STATE</t>
  </si>
  <si>
    <t>Occupancy and air-conditioning on/off behavior have a significant impact on the operational energy consumption of a building, and it is important to study their joint role in implementing occupant centered control strategies and reducing building energy consumption. We propose a control strategy based on the synergistic analysis of occupancy and air-conditioning on/off behavior, incorporating tolerance temperature parameters to achieve fine-grained energy-saving regulation of air-conditioning in campus offices. Transformer is selected to handle the complex temporal patterns inherent in occupancy and air conditioning on/off behavioral data due to its expertise in capturing long-range dependencies and multi-feature interactions in temporal data. A Transformer-based multi-feature multi-step input prediction model is constructed by deploying a variety of sensors to collect environmental and behavioral data during a month-long experimental test in two offices within a university in Wuhan. The model is able to predict personnel occupancy (R2 = 0.917) and air-conditioning on/off behavior (Accuracy = 0.988) with relatively high accuracy. The energy simulation results show that the strategy can save up to 62% energy compared to the conventional system operation mode. A comparison of the results of the two office reveals that rooms with greater randomness of occupancy have a greater potential for energy savings. This study can provide an innovative and practical control strategy for reducing air-conditioning energy consumption in campus offices, which can help to achieve efficient energy utilization.</t>
  </si>
  <si>
    <t>[Yu, Yingying; Liu, Lamei; Wang, Xing; Gao, Jiajia; Li, Guannan; Li, Tao] Wuhan Univ Sci &amp; Technol, Sch Urban Construct, Wuhan 430065, Peoples R China; [Li, Yang] Guizhou Zhongjian Construct Sci Res Designing Inst, Guiyang 550006, Guizhou, Peoples R China</t>
  </si>
  <si>
    <t>Wuhan University of Science &amp; Technology</t>
  </si>
  <si>
    <t>Liu, LM; Li, T (corresponding author), Wuhan Univ Sci &amp; Technol, Sch Urban Construct, Wuhan 430065, Peoples R China.</t>
  </si>
  <si>
    <t>liulm@wust.edu.cn; litao1001@wust.edu.cn</t>
  </si>
  <si>
    <t>10.1007/s12273-025-1356-1</t>
  </si>
  <si>
    <t>WOS:001639779500001</t>
  </si>
  <si>
    <t>Baniya, B</t>
  </si>
  <si>
    <t>Baniya, Bishal</t>
  </si>
  <si>
    <t>Multi-hazard climate risks and resilience planning for urban commercial buildings: Spotlight on building services systems</t>
  </si>
  <si>
    <t>adaptation; building envelope; climate risk; commercial buildings; energy; water</t>
  </si>
  <si>
    <t>IMPACT ASSESSMENT; ASSESSMENT MODEL; ADAPTATION; FRAMEWORK; VULNERABILITY; CHALLENGES; MANAGEMENT; RIVER</t>
  </si>
  <si>
    <t>This research aims to analyse and probabilistically measure the climate-related multi-hazard risks linked to the building energy system, water system, and building envelope of an urban commercial building in Sydney, Australia. Additionally, it examines how these risks amplify and interact when evaluated collectively. The study employs extreme value analysis to translate the intensity of multiple climate hazards into probabilities of occurrence. A Bayesian Network (BN) is used for probabilistic inference, with building energy modelling and geospatial analysis providing additional data for the BN conceptual model. In terms of impact on building systems of the reference building, cooling demand could increase by 19%, and heating demand by around 3%. The probability of surviving power outages may decrease by up to 10%, and water demand is expected to rise by up to 5%. The risk scores for these systems vary: energy systems face medium to high risk, water systems lean towards high risk due to increased demand and reduced rainwater collection, and the building envelope has a low to medium risk. Adaptation pathways can help mitigate these risks. The Building Energy Transition pathway can reduce the energy system's risk by up to 17%. The Water Sensitive Urban Design pathway can lower the water system's risk by 18%. The Building Structural Integrity pathway can decrease the building envelope's risk by up to 16%. The study highlights the need for improved analytical tools and frameworks, emphasising the importance of expanding BN concepts and cross-validating climate data across climate model ensembles to enhance scientific rigour.</t>
  </si>
  <si>
    <t>[Baniya, Bishal] Univ Technol Sydney, 235 Jones St, Sydney, NSW, Australia</t>
  </si>
  <si>
    <t>University of Technology Sydney</t>
  </si>
  <si>
    <t>Baniya, B (corresponding author), Univ Technol Sydney, 235 Jones St, Sydney, NSW, Australia.</t>
  </si>
  <si>
    <t>bishal.baniya@uts.edu.au</t>
  </si>
  <si>
    <t>10.1007/s12273-025-1364-1</t>
  </si>
  <si>
    <t>WOS:001635974900001</t>
  </si>
  <si>
    <t>Song, JL; Fu, N; Wu, M; Du, W; Cui, ZP; Liu, Y; Wu, DP; Mao, K; Pan, B</t>
  </si>
  <si>
    <t>Song, Jialuo; Fu, Nan; Wu, Min; Du, Wei; Cui, Zhanpeng; Liu, Yang; Wu, Danping; Mao, Kang; Pan, Bo</t>
  </si>
  <si>
    <t>Polycyclic aromatic hydrocarbons (PAHs) bound to indoor dust in plateau households</t>
  </si>
  <si>
    <t>indoor dust; polycyclic aromatic hydrocarbons; urban-rural differences; source apportionment; incremental lifetime cancer risk</t>
  </si>
  <si>
    <t>AIR-POLLUTION; HEALTH-RISK; PARTICULATE MATTER; CANCER-RISK; EXPOSURE; CHINA; ATMOSPHERE; EMISSION; SHANGHAI; OUTDOOR</t>
  </si>
  <si>
    <t>Polycyclic aromatic hydrocarbons (PAHs) bound to indoor dust pose a significant health threat, while limited studies focused on their difference between rural and urban households, particularly in highland regions. This study systematically analyzed PAHs in indoor dust collected from rural and urban plateau households in Yunan Province, China focusing on their concentrations, particle-size distributions, sources, and carcinogenic risks. Rural households showed significantly higher PAH concentrations than urban households (7575.03 ng/g vs. 5788.73 ng/g), with higher proportion of 2-ring PAHs in urban households and 3-4 ring PAHs dominating in rural samples, reflecting differences in combustion sources and building characteristics. A distinct particle-size pattern of PAHs was also observed, with higher levels in coarse fractions (F1-F3) in urban households, while fine fractions (F4-F6) were enriched in rural households. The results of source apportionment via PMF found that traffic emissions dominated the total incremental lifetime cancer risk (ILCR) in both rural and urban households (57.4% and 64.8%, respectively), followed by biomass burning and/or cooking (25.9% and 22.6%, respectively), and coal burning (16.7 and 12.6%, respectively). Moreover, the overall ILCR in rural households was significantly higher than that in urban households, and children exhibited significantly higher ILCR values than adults in both rural and urban households, with a total ILCR of 4.52x10-6, primarily via dermal contact and ingestion. These findings provide a scientific basis for identifying and managing indoor air pollution risks in plateau households.</t>
  </si>
  <si>
    <t>[Song, Jialuo; Wu, Min; Du, Wei; Cui, Zhanpeng; Liu, Yang; Pan, Bo] Kunming Univ Sci &amp; Technol, Fac Environm Sci &amp; Engn, Yunnan Prov Key Lab Soil Carbon Sequestrat &amp; Pollu, Kunming 650500, Peoples R China; [Song, Jialuo; Wu, Min; Du, Wei; Cui, Zhanpeng; Liu, Yang; Pan, Bo] Yunnan Int Joint Lab Emiss Reduct &amp; Carbon Sequest, Kunming 650500, Peoples R China; [Fu, Nan] Peking Univ, Coll Urban &amp; Environm Sci, Lab Earth Surface Proc, Beijing 100871, Peoples R China; [Wu, Danping] Yunnan Normal Univ, Sch Energy &amp; Environm Sci, Kunming 650500, Peoples R China; [Mao, Kang] Chinese Acad Sci, State Key Lab Environm Geochem, Inst Geochem, Guiyang 550081, Peoples R China</t>
  </si>
  <si>
    <t>Kunming University of Science &amp; Technology; Peking University; Yunnan Normal University; Chinese Academy of Sciences; Institute of Geochemistry, CAS</t>
  </si>
  <si>
    <t>Du, W (corresponding author), Kunming Univ Sci &amp; Technol, Fac Environm Sci &amp; Engn, Yunnan Prov Key Lab Soil Carbon Sequestrat &amp; Pollu, Kunming 650500, Peoples R China.;Du, W (corresponding author), Yunnan Int Joint Lab Emiss Reduct &amp; Carbon Sequest, Kunming 650500, Peoples R China.;Wu, DP (corresponding author), Yunnan Normal Univ, Sch Energy &amp; Environm Sci, Kunming 650500, Peoples R China.</t>
  </si>
  <si>
    <t>Wdu@geo.ecnu.edu.cn; 240005@ynnu.edu.cn</t>
  </si>
  <si>
    <t>10.1007/s12273-025-1378-8</t>
  </si>
  <si>
    <t>WOS:001636011900001</t>
  </si>
  <si>
    <t>Xie, ZX; Lu, XD; Ma, JJ; Tao, WQ; Xu, B; Zhang, XH; Zhang, W; Zhu, PS; Xie, M</t>
  </si>
  <si>
    <t>Xie, Zhuangxiu; Lu, Xiaodong; Ma, Jianjun; Tao, Wanqi; Xu, Bin; Zhang, Xiaohui; Zhang, Wei; Zhu, Peisheng; Xie, Meng</t>
  </si>
  <si>
    <t>Assessing the spatial variation of soundscape perception in high-density urban mountain parks</t>
  </si>
  <si>
    <t>soundscape; urban mountain park; soundscape perception; spatial variation; zonal management</t>
  </si>
  <si>
    <t>ACOUSTIC PERCEPTION; NOISE; DESCRIPTORS; IMPACT</t>
  </si>
  <si>
    <t>In high-density urban areas, mountain park soundscapes vary considerably due to road layout, terrain, and human activity. This study analyzed spatial soundscape variation across three central Dalian parks using sound pressure level (SPL) measurements, binaural recordings, and panoramic images from 17 points. These were used to create virtual reality experiences for 32 participants, generating 544 evaluations of the perceived dominance of sound sources, Pleasantness (PISO), and Eventfulness (EISO) across high (&gt;55 dBA), medium (45-55 dBA), and low (&lt;45 dBA) SPL zones. An XGBoost classification model identified soundscape characteristics per zone, and stepwise regression revealed how SPL alters the strength and direction of the relationship between dominant sound and PISO. Results showed a clear vertical SPL distribution with distinct soundscape profiles: High SPL zone was concentrated at the mountain base, characterized by dominant traffic noise, high EISO and low PISO. Meanwhile, Low SPL zone, found primarily in mid-mountain areas, offered high PISO due to minimal traffic noise perception. Medium SPL zone, located at the summit and other mid-mountain, was distinguished by prominent human sounds and achieved high PISO. Crucially, the influence of human sounds on PISO was context-dependent: human sounds enhanced PISO at the noisy base but detracted from it in the tranquil mid-mountain and summit. These results underscore the need for tailored, location-specific soundscape optimization strategies and provide a theoretical framework for planning and managing urban mountain parks.</t>
  </si>
  <si>
    <t>[Xie, Zhuangxiu; Lu, Xiaodong; Ma, Jianjun; Zhang, Wei; Zhu, Peisheng; Xie, Meng] Dalian Univ Technol, Sch Architecture &amp; Fine Arts, Dalian, Peoples R China; [Tao, Wanqi] Jilin Jianzhu Univ, Sch Architecture &amp; Planning, Changchun, Peoples R China; [Xu, Bin] China Architecture Design &amp; Res Grp, Beijing, Peoples R China; [Zhang, Xiaohui] Dalian Branch, Agr Bank China, Dalian, Peoples R China</t>
  </si>
  <si>
    <t>Dalian University of Technology; Jilin Jianzhu University; Agricultural Bank of China</t>
  </si>
  <si>
    <t>Lu, XD (corresponding author), Dalian Univ Technol, Sch Architecture &amp; Fine Arts, Dalian, Peoples R China.</t>
  </si>
  <si>
    <t>lxd3721@dlut.edu.cn</t>
  </si>
  <si>
    <t>10.1007/s12273-025-1387-7</t>
  </si>
  <si>
    <t>WOS:001638375000001</t>
  </si>
  <si>
    <t>Yu, SF; Duan, MF; Ren, BQ; Song, JK; Li, SJ; Sun, HL; Lin, BR</t>
  </si>
  <si>
    <t>Yu, Shenfei; Duan, Mengfan; Ren, Bingqian; Song, Junkang; Li, Songjun; Sun, Hongli; Lin, Borong</t>
  </si>
  <si>
    <t>Quantitative analysis of individual-scale occupancy: An occupant-centric method for indoor mobility pattern extraction</t>
  </si>
  <si>
    <t>occupant-centric; localized environmental control; indoor occupancy-movement pattern; building energy conservation</t>
  </si>
  <si>
    <t>Occupant-centric localized heating/cooling is crucial for advancing building carbon neutrality and enhancing habitation quality. This strategy hinges on achieving precise match between thermal supply and individual demand across both temporal and spatial scales, thereby minimizing unnecessary energy consumption. However, current research mainly relies on room-scale analyses that overlook fine-grained behavioral variabilities and personalized spatial preferences, constraining the development of refined environmental control systems. To address this gap, this study presents an occupant-centric method for indoor occupancy pattern analysis, introducing a Present Demand-Next Demand segment-based modeling framework that incorporates migration pathways and behavioral rhythms. It enhances the accuracy of behavioral pattern reconstruction and enables responsive, high-resolution environmental control. The framework supports the extraction of individual-scale occupancy patterns, facilitating dynamic and adaptive heating/cooling strategies. On this basis, the individual occupancy patterns of a three-person household was analyzed with field-tested positioning data. Results show that Resident Zones (RZs) account for over 85% of dwelling time while occupying only a small spatial fraction, indicating energy-saving potential through localized regulation. Behavioral analysis further reveals that different occupants exhibit distinct spatial preferences with strong connectivity between preferred zones, and that fixed transfer tendencies occur at specific times, suggesting opportunities for personalized control strategies. Moreover, different spatial clustering methods demonstrated distinct strengths under varying activity intensities, highlighting their complementarity for individual-scale behavioral analysis. Overall, this research provides support for advancing personalized environmental control, offering actionable insights for demand-responsive systems and performance-based building simulations.</t>
  </si>
  <si>
    <t>[Yu, Shenfei; Ren, Bingqian; Song, Junkang; Li, Songjun; Sun, Hongli] Sichuan Univ, Coll Architecture &amp; Environm, Chengdu 610065, Peoples R China; [Duan, Mengfan] Southeast Univ, Sch Energy &amp; Environm, Nanjing 211189, Peoples R China; [Sun, Hongli] Sichuan Univ, State Key Lab Intelligent Construct &amp; Hlth Operat, Chengdu 610065, Peoples R China; [Lin, Borong] Tsinghua Univ, Dept Bldg Sci, Beijing 100084, Peoples R China; [Sun, Hongli; Lin, Borong] Tsinghua Univ, Minist Educ, Key Lab Eco Planning &amp; Green Bldg, Beijing 100084, Peoples R China</t>
  </si>
  <si>
    <t>Sichuan University; Southeast University - China; Sichuan University; Tsinghua University; Tsinghua University</t>
  </si>
  <si>
    <t>Sun, HL (corresponding author), Sichuan Univ, Coll Architecture &amp; Environm, Chengdu 610065, Peoples R China.;Sun, HL (corresponding author), Sichuan Univ, State Key Lab Intelligent Construct &amp; Hlth Operat, Chengdu 610065, Peoples R China.;Sun, HL (corresponding author), Tsinghua Univ, Minist Educ, Key Lab Eco Planning &amp; Green Bldg, Beijing 100084, Peoples R China.</t>
  </si>
  <si>
    <t>shl@scu.edu.cn</t>
  </si>
  <si>
    <t>10.1007/s12273-025-1374-z</t>
  </si>
  <si>
    <t>WOS:001635977400001</t>
  </si>
  <si>
    <t>Zhou, YP; Hu, YT; Zhu, JT; Luo, J; Zhang, XF; Al-Saadi, SN; Li, J; Sun, XQ</t>
  </si>
  <si>
    <t>Zhou, Yaping; Hu, Yaotian; Zhu, Jiangtian; Luo, Jing; Zhang, Xiaofeng; Al-Saadi, Saleh Nasser; Li, Jie; Sun, Xiaoqin</t>
  </si>
  <si>
    <t>Climate adaptation study of phase change materials in rural buildings in China using a machine learning approach</t>
  </si>
  <si>
    <t>rural residential building; phase change material; climatic factors; energy savings; machine learning; cluster</t>
  </si>
  <si>
    <t>ECONOMIC-ANALYSIS; HEAT-TRANSFER; THERMAL PERFORMANCE; ENERGY PERFORMANCE; PCM; WALLS; LAYERS</t>
  </si>
  <si>
    <t>Energy consumption can be decreased by integrating phase change materials (PCM) into building envelopes. However, the correlation between climate conditions and energy savings potential of using PCM in buildings remain unclear and unquantified. This study investigates the energy savings and thermal performance of PCM-integrated buildings in 50 rural areas of China. The heating and cooling energy use intensity (EUI) reduction, PCM liquid fraction and wall inner surface temperature profiles were compared and analyzed in five representative rural areas. A machine learning-based climate classification approach tailored for PCM-integrated buildings was proposed by combining XGBoost and clustering methods. The XGBoost algorithm was employed to identify and rank the influential climate variables by comparing their importance scores. The K-means clustering method was then applied to the key climate variables to enable climate classification reflecting PCM performance. The most substantial heating and cooling EUI reductions occur in the severe cold region at 8.35 kWh/(m2year) and hot summer and warm winter region at 4.31 kWh/(m2year), respectively. Outdoor air temperature and solar irradiance were identified as the most significant factors. Clustering of key climate variables facilitated the evaluation of the effectiveness of using PCM in buildings. The daily average heating energy savings were 0.67, 1.31 and 1.60 kWh/day for different clusters, while the daily average cooling energy savings were -0.25, 0.29 and 1.02 kWh/day.</t>
  </si>
  <si>
    <t>[Zhou, Yaping; Hu, Yaotian; Zhu, Jiangtian; Luo, Jing; Zhang, Xiaofeng; Li, Jie; Sun, Xiaoqin] Changsha Univ Sci &amp; Technol, Sch Energy &amp; Power Engn, Changsha 410114, Hunan, Peoples R China; [Al-Saadi, Saleh Nasser] Sultan Qaboos Univ, Dept Civil &amp; Architectural Engn, POB 33,POB 123, Muscat, Oman</t>
  </si>
  <si>
    <t>Changsha University of Science &amp; Technology; Sultan Qaboos University</t>
  </si>
  <si>
    <t>Sun, XQ (corresponding author), Changsha Univ Sci &amp; Technol, Sch Energy &amp; Power Engn, Changsha 410114, Hunan, Peoples R China.</t>
  </si>
  <si>
    <t>xiaoqinsun@csust.edu.cn</t>
  </si>
  <si>
    <t>10.1007/s12273-025-1353-4</t>
  </si>
  <si>
    <t>WOS:001637017400001</t>
  </si>
  <si>
    <t>Taromboli, G; Mazzini, L; Bovera, F</t>
  </si>
  <si>
    <t>Taromboli, Giulia; Mazzini, Luigi; Bovera, Filippo</t>
  </si>
  <si>
    <t>Are building-energy systems valuable for flexibility markets? A techno-economic analysis under different boundary conditions</t>
  </si>
  <si>
    <t>building thermal inertia; RC model; power flexibility; residential flexibility; heat pump operation; MILP</t>
  </si>
  <si>
    <t>PERFORMANCE; MODELS; MASS; HVAC</t>
  </si>
  <si>
    <t>The increasing penetration of non-programmable renewable sources poses new challenges to the stability and reliability of electric power systems. Particularly, as traditional ancillary services from thermoelectric power plants are declining, new flexible actors are needed. This work investigates the potential of a residential house heated by a heat pump to offer flexibility services to the electric grid by leveraging its thermal inertia. An optimisation model is developed to schedule the heat pump operations while minimising the daily electricity costs, providing upward reserve (i.e. reducing consumption when requested) and ensuring occupants thermal comfort. The building thermal behaviour is modelled using a 7R4C network based on a thermo-electric analogy. The developed model is applied to a refurbished single-family house, equipped with an air source heat pump and radiant floor heating system, during a typical winter day. Then, five sensitivity analyses are performed to assess the impact of weather conditions, building age, heating system, electricity pricing, and heat pump type. The base case results show that offering upward reserve primarily shifts the heating consumption throughout the day without large variations in the overall energy use, preserving thermal comfort and with potential economic benefits. However, the sensitivity analyses show a reduced profitability linked to mid-season days, building with lower thermal inertia, lack of heat pump inverter control and time-varying electricity tariffs. In conclusion, results confirm that building-energy systems can provide flexibility services by leveraging their thermal inertia, but economic convenience is highly context-dependent.</t>
  </si>
  <si>
    <t>[Taromboli, Giulia; Bovera, Filippo] Politecn Milan, Energy Dept, I-20156 Milan, Italy; [Mazzini, Luigi] Key Energy Srl, I-00187 Rome, Italy</t>
  </si>
  <si>
    <t>Polytechnic University of Milan</t>
  </si>
  <si>
    <t>Taromboli, G (corresponding author), Politecn Milan, Energy Dept, I-20156 Milan, Italy.</t>
  </si>
  <si>
    <t>giulia.taromboli@polimi.it</t>
  </si>
  <si>
    <t>10.1007/s12273-025-1373-0</t>
  </si>
  <si>
    <t>WOS:001636000300001</t>
  </si>
  <si>
    <t>Cao, QM; Liu, Y; Han, B; Niu, BB; Yang, L</t>
  </si>
  <si>
    <t>Cao, Qimeng; Liu, Yan; Han, Bing; Niu, Bingbing; Yang, Liu</t>
  </si>
  <si>
    <t>Combined empirical model and Euclidean distance for estimating daily and hourly global solar radiation data</t>
  </si>
  <si>
    <t>daily global solar radiation; hourly global solar radiation; reference station model; Euclidean distance; sunshine duration</t>
  </si>
  <si>
    <t>SUNSHINE DURATION; GENERAL-MODELS; VALIDATION; CLIMATE; CLASSIFICATION; IRRADIATION; PERFORMANCE; PREDICTION; DESIGN; ZONES</t>
  </si>
  <si>
    <t>Renewable energy such as solar energy is attracting increasing attention under carbon neutrality. Reliable and precision solar radiation estimations covering county is essential for building performance simulation and solar energy applications. However, existing empirical or reanalysis-based methods for estimating daily and hourly global solar radiation (H and Ih) often oversimplify local climatic effects. Merging the advantage of solar radiation zone and space distance, the reference station model is proposed, which assumes that the solar radiation pattern of the meteorological station is the same as that of the nearest solar radiation station, taking into account spatial distances and similarities in the solar climates. The two-step method of identifying reference station and H and Ih models have been established and analyzed based on 112 solar radiation measurements across China. To verify the accuracy of the reference station model, the comparison is carried out by comparing zone model and individual model. The results show that the minimum Euclidean distance of latitude, altitude and monthly average sunshine duration ratio and the consistent variation trend of monthly average sunshine duration ratio are the criteria for identifying reference station. The sunshine duration ratio is the key index to develop H model. The reference station model demonstrates reliable performance, with the RMSE% of H of 88% stations less than 15%. This work can provide new thoughts and method for improving the solar radiation estimations to assist the low carbon building target.</t>
  </si>
  <si>
    <t>[Cao, Qimeng; Liu, Yan; Yang, Liu] Xian Univ Architecture &amp; Technol, State Key Lab Green Bldg, Xian 710055, Shaanxi, Peoples R China; [Cao, Qimeng] Xian Univ Architecture &amp; Technol, Inst Interdisciplinary &amp; Innovate Res, Xian 710055, Shaanxi, Peoples R China; [Liu, Yan; Han, Bing; Niu, Bingbing; Yang, Liu] Xian Univ Architecture &amp; Technol, Sch Architecture, Xian 710055, Shaanxi, Peoples R China</t>
  </si>
  <si>
    <t>Xi'an University of Architecture &amp; Technology; Xi'an University of Architecture &amp; Technology; Xi'an University of Architecture &amp; Technology</t>
  </si>
  <si>
    <t>Yang, L (corresponding author), Xian Univ Architecture &amp; Technol, State Key Lab Green Bldg, Xian 710055, Shaanxi, Peoples R China.;Yang, L (corresponding author), Xian Univ Architecture &amp; Technol, Sch Architecture, Xian 710055, Shaanxi, Peoples R China.</t>
  </si>
  <si>
    <t>yangliu@xauat.edu.cn</t>
  </si>
  <si>
    <t>10.1007/s12273-025-1355-2</t>
  </si>
  <si>
    <t>WOS:001629291300001</t>
  </si>
  <si>
    <t>He, JZ; Yu, M; Zhang, SC; Liang, QS; Cao, MR; Xu, HT; Li, X; Sun, ZH; Liu, ZJ</t>
  </si>
  <si>
    <t>He, Junzhou; Yu, Miao; Zhang, Saichong; Liang, Qianshun; Cao, Mingrui; Xu, Hongtao; Li, Xin; Sun, Zhenhai; Liu, Zhijian</t>
  </si>
  <si>
    <t>Quantitative evaluation of H2O2 disinfection efficiency in air duct: Effects of temperature, relative humidity and H2O2 concentration</t>
  </si>
  <si>
    <t>hydrogen peroxide; bioaerosol; air disinfection; parametric assessment; sensitive constant</t>
  </si>
  <si>
    <t>HYDROGEN-PEROXIDE; SERRATIA-MARCESCENS; OXIDATIVE STRESS; INACTIVATION; EFFICACY; DECONTAMINATION; DECOMPOSITION; SURFACES; BIOFILMS; KINETICS</t>
  </si>
  <si>
    <t>Hydrogen peroxide (H2O2) is widely used for disinfection because of its oxidative and antimicrobial properties. However, most studies have focused on surface disinfection, with limited research addressing its effectiveness for air disinfection. In this study, we developed a controlled air duct testing system to evaluate the disinfection performance of H2O2 in a ventilation system while precisely regulating environmental parameters. A sensitivity constant (Z) was introduced to quantitatively assess disinfection efficiency, with increased Z-values indicating enhanced disinfection performance. With a 7.5 s flow in the air duct system, the bioaerosol removal efficiency ranged from 26% to 97% under different temperature and humidity conditions. As temperature increased from 15 to 33 degrees C, removal efficiency of Serratia marcescens and Escherichia coli increased from 40% to 95% and 78% to 97%, respectively. Correspondingly, Z-values increased from 0.0021 to 0.0076 ppm-1s-1 for S. marcescens and from 0.0072 to 0.0083 ppm-1s-1 for E. coli, suggesting that elevated temperature enhanced H2O2's air disinfection efficiency. Conversely, higher humidities reduced H2O2's efficacy; as the relative humidity decreased from 80% to 30%, the relative concentration of E. coli decreased and the Z-value dropped from 0.017 to 0.0022 ppm-1s-1. When the H2O2 concentration increased, the removal efficiency increased slightly, while the Z-value decreased significantly, indicating diminishing returns at higher H2O2 concentrations. These findings provide important insights for optimizing H2O2-based air disinfection strategies.</t>
  </si>
  <si>
    <t>[He, Junzhou; Yu, Miao; Zhang, Saichong; Liang, Qianshun; Cao, Mingrui; Xu, Hongtao; Liu, Zhijian] North China Elect Power Univ, Dept Power Engn, Baoding 071003, Peoples R China; [Li, Xin; Sun, Zhenhai] Acad Mil Sci, Acad Mil Med Sci, Beijing 100850, Peoples R China</t>
  </si>
  <si>
    <t>North China Electric Power University; Academy of Military Medical Sciences - China</t>
  </si>
  <si>
    <t>He, JZ; Liu, ZJ (corresponding author), North China Elect Power Univ, Dept Power Engn, Baoding 071003, Peoples R China.</t>
  </si>
  <si>
    <t>hjz@ncepu.edu.cn; zhijianliu@ncepu.edu.cn</t>
  </si>
  <si>
    <t>10.1007/s12273-025-1381-0</t>
  </si>
  <si>
    <t>WOS:001629290900001</t>
  </si>
  <si>
    <t>Wang, M; Fang, PX; Lv, B; Yang, DR; Zheng, XH; Gao, H</t>
  </si>
  <si>
    <t>Wang, Ming; Fang, Peixin; Lv, Bo; Yang, Dongrun; Zheng, Xuehan; Gao, He</t>
  </si>
  <si>
    <t>A novel multi-zone uniform lighting control strategy for buildings based on SSA and ELM</t>
  </si>
  <si>
    <t>uniform lighting control; extreme learning machine; sparrow search algorithm; intelligent lighting; distributed control system</t>
  </si>
  <si>
    <t>SHADING SYSTEMS; DESIGN; OPTIMIZATION</t>
  </si>
  <si>
    <t>Uniform indoor lighting is essential for enhancing visual comfort, reducing glare and shadows, and improving occupant productivity. However, achieving consistent illumination across multiple zones is challenging due to the dynamic interplay between daylight and artificial lighting, as well as the mutual influence among distributed lighting units. This study proposes a novel multi-zone uniform lighting control strategy based on a modular and scalable distributed framework. The system integrates both daylight and electric lighting control: a fuzzy logic controller regulates venetian blinds in response to changing daylight conditions, while a deterministic policy iteration algorithm, built upon an improved Extreme Learning Machine (ELM), manages artificial lighting. To enhance the generalization and adaptability of the ELM, the Sparrow Search Algorithm (SSA) is employed for hyperparameter optimization. A prototype system incorporating multiple luminaires and shading devices was developed and tested under real-world dynamic lighting conditions. Experimental results demonstrate that the proposed method effectively maintains uniform illumination across multiple areas, with a maximum relative error of less than 10% between actual and target illumination levels. The system exhibits strong real-time performance, stability, and adaptability to environmental changes. This research provides a practical, learning-based control solution suitable for complex indoor environments, and offers additional insights into the design of intelligent lighting systems for modern buildings.</t>
  </si>
  <si>
    <t>[Wang, Ming; Fang, Peixin; Lv, Bo; Yang, Dongrun; Zheng, Xuehan] Shandong Jianzhu Univ, Sch Informat &amp; Elect Engn, Shandong Key Lab Smart Bldg &amp; Energy Efficiency, Jinan 250101, Peoples R China; [Gao, He] Shandong Zhengchen Technol Co Ltd, Jinan 250101, Peoples R China</t>
  </si>
  <si>
    <t>Wang, M (corresponding author), Shandong Jianzhu Univ, Sch Informat &amp; Elect Engn, Shandong Key Lab Smart Bldg &amp; Energy Efficiency, Jinan 250101, Peoples R China.</t>
  </si>
  <si>
    <t>xclwm@sdjzu.edu.cn</t>
  </si>
  <si>
    <t>10.1007/s12273-025-1343-6</t>
  </si>
  <si>
    <t>NOV 2025</t>
  </si>
  <si>
    <t>WOS:001626395900001</t>
  </si>
  <si>
    <t>Sun, HL; Li, SJ; Feng, DW; Ni, YJ; Yu, SF; Song, JK; Ren, BQ; Ma, DL; Duan, MF; Lin, BR</t>
  </si>
  <si>
    <t>Sun, Hongli; Li, Songjun; Feng, Dewei; Ni, Yijie; Yu, Shenfei; Song, Junkang; Ren, Bingqian; Ma, Donglin; Duan, Mengfan; Lin, Borong</t>
  </si>
  <si>
    <t>Advancing fiber-optic daylighting system integrated with freeform optics for indoor workstation lighting</t>
  </si>
  <si>
    <t>fiber-optics daylighting system; uniform illumination; energy saving; building light environment; workstation lighting</t>
  </si>
  <si>
    <t>DESIGN; ILLUMINATION; TRANSMISSION; SATISFACTION; UNIFORMITY; FIBERS; HEALTH</t>
  </si>
  <si>
    <t>Fiber-optics daylighting system (FODS) demonstrates significant potential for enhancing natural light utilization efficiency while enabling a more continuous visible spectrum illumination to support circadian rhythm regulation. It offers a promising solution for both building energy efficiency and indoor light environment comfort improvement. However, conventional FODS face critical limitations, including low coupling efficiency at the collector-fiber interface and uneven illumination distribution, which impede its practical application. Recent advancements in optical technology present new opportunities for performance optimization of the FODS. Departing from traditional homogenization approaches reliant on optical homogenizers, this study introduces a freeform-caustics-based collector design with discretized energy distribution across the receiving plane. This innovative freeform fiber-optics daylighting system (FFODS) simultaneously addresses localized thermal accumulation and improves coupling efficiency. Furthermore, diffuse transmission materials and a freeform lens are integrated as a dual-functional diffuser to reshaping emitted light and precisely manipulate optical wave fronts, thereby achieving stable and uniform illumination in the targeted area. On this basis, a systematically simulation analysis on the thermal characteristics and photometric performance of the system was conducted. The results validate that the FFODS achieves a 98.5% coupling efficiency with a 126 times reduction in geometric concentration ratio compared to Fresnel lens collector. The diffuser maintains illumination uniformity above 0.8 under bending and adjustment conditions, while realizing 91.5% workspace illumination efficiency in the targeted area. Overall, this novel FFODS provides a transformative technique for advancing conventional FODS with high efficiency and illumination uniformity.</t>
  </si>
  <si>
    <t>[Sun, Hongli; Li, Songjun; Yu, Shenfei; Song, Junkang; Ren, Bingqian] Sichuan Univ, Coll Architecture &amp; Environm, Chengdu 610065, Peoples R China; [Feng, Dewei; Ni, Yijie; Ma, Donglin] Huazhong Univ Sci &amp; Technol, Sch Opt &amp; Elect Informat, Wuhan 430074, Peoples R China; [Feng, Dewei; Ni, Yijie; Ma, Donglin] Huazhong Univ Sci &amp; Technol, Wuhan Natl Lab Optoelect, Wuhan 430074, Peoples R China; [Duan, Mengfan] Southeast Univ, Sch Energy &amp; Environm, Nanjing 211189, Peoples R China; [Sun, Hongli] Sichuan Univ, State Key Lab Intelligent Construction &amp; Hlth Oper, Chengdu 610065, Peoples R China; [Lin, Borong] Tsinghua Univ, Sch Architecture, Dept Bldg Sci, Beijing 100084, Peoples R China; [Lin, Borong] Tsinghua Univ, Key Lab Eco Planning &amp; Green Bldg, Minist Educ, Beijing 100084, Peoples R China</t>
  </si>
  <si>
    <t>Sichuan University; Huazhong University of Science &amp; Technology; Huazhong University of Science &amp; Technology; Southeast University - China; Sichuan University; Tsinghua University; Tsinghua University</t>
  </si>
  <si>
    <t>Ma, DL (corresponding author), Huazhong Univ Sci &amp; Technol, Sch Opt &amp; Elect Informat, Wuhan 430074, Peoples R China.;Ma, DL (corresponding author), Huazhong Univ Sci &amp; Technol, Wuhan Natl Lab Optoelect, Wuhan 430074, Peoples R China.;Duan, MF (corresponding author), Southeast Univ, Sch Energy &amp; Environm, Nanjing 211189, Peoples R China.</t>
  </si>
  <si>
    <t>madonglin@hust.edu.cn; duanmf@seu.edu.cn</t>
  </si>
  <si>
    <t>10.1007/s12273-025-1345-4</t>
  </si>
  <si>
    <t>WOS:001611615800001</t>
  </si>
  <si>
    <t>Qian, JY; Dou, ZY; Xu, ZK; Li, YZ; Li, ZY; Zhang, N</t>
  </si>
  <si>
    <t>Qian, Jiayu; Dou, Zhiyang; Xu, Zhikang; Li, Yuze; Li, Zeyang; Zhang, Nan</t>
  </si>
  <si>
    <t>Real close contact behavior based respiratory infectious diseases transmission in rural China</t>
  </si>
  <si>
    <t>respiratory infectious diseases; indoor environment; close contact; rural area; risk of infection</t>
  </si>
  <si>
    <t>COVID-19; VENTILATION; OUTBREAK</t>
  </si>
  <si>
    <t>Due to relative poverty, China's rural areas face challenges in preventing and controlling infectious diseases. Close contact data are essential for understanding the spread of infections; however, there is currently a lack of quantitative analysis and assessment of infection risk associated with human behavior in rural areas. This study addresses the challenges rural areas face in controlling respiratory infectious diseases due to underdeveloped economies and vulnerable populations. It focuses on close contact as the primary transmission route and bridges the gap in real indoor close contact behavior data, providing a scientific basis for effective prevention and control. This study developed a model based on real indoor close contact behaviors to simulate infectious disease spread and quantify viral exposure and infection risk in rural China. Effectiveness of non-pharmaceutical interventions in high-risk indoor environments was quantified. In rural areas with a 1% disease prevalence, the highest hourly infection risk was 0.28% in restaurants, followed by clinics and classrooms. Close contact risks in rural homes, offices, clinics, and classrooms were up to 1.6 times higher than in urban areas. These risks could be reduced below 0.1% with targeted interventions: (1) in restaurants, set air change rate to 5.8 ACH, with 1.5-m seat spacing and mandatory mask-wearing during non-meal times; (2) in classrooms, set air change rate to 14 ACH, with mask-wearing and online/offline blended learning ensuring 1.5-m spacing between desks for offline students; (3) in clinics, set air change rate to 8.8 ACH, encourage telemedicine for half the population, and require mask-wearing. The interventions reduce infection risk by 69.9% in restaurants, 67.8% in classrooms, and 77.4% in clinics. This study highlights the high infection risk in rural restaurants, classrooms, homes, and clinics, and suggests targeted measures to support effective epidemic prevention in these indoor environments.</t>
  </si>
  <si>
    <t>[Qian, Jiayu; Xu, Zhikang; Li, Yuze; Zhang, Nan] Beijing Univ Technol, Key Lab Green Built Environm &amp; Energy Efficient, Beijing 100124, Peoples R China; [Dou, Zhiyang] Univ Hong Kong, Dept Comp Sci, Hong Kong, Peoples R China; [Li, Zeyang] Beijing Univ Technol, Coll Architecture &amp; Civil Engn, Beijing 100124, Peoples R China</t>
  </si>
  <si>
    <t>Beijing University of Technology; University of Hong Kong; Beijing University of Technology</t>
  </si>
  <si>
    <t>Zhang, N (corresponding author), Beijing Univ Technol, Key Lab Green Built Environm &amp; Energy Efficient, Beijing 100124, Peoples R China.</t>
  </si>
  <si>
    <t>10.1007/s12273-025-1361-4</t>
  </si>
  <si>
    <t>OCT 2025</t>
  </si>
  <si>
    <t>WOS:001603500000001</t>
  </si>
  <si>
    <t>Ruan, DW; Hu, MW; Fan, C; Guan, J</t>
  </si>
  <si>
    <t>Ruan, Dawei; Hu, Mingwei; Fan, Cheng; Guan, Jun</t>
  </si>
  <si>
    <t>A multiscale spatiotemporal selection calculation method for dynamic shadows in complex high-density building clusters</t>
  </si>
  <si>
    <t>shadow calculation; accelerated method; complex high-density building clusters; BIPV facade</t>
  </si>
  <si>
    <t>SOLAR-RADIATION; RENEWABLE ENERGY; URBAN; MODEL; CITY; SIMULATION</t>
  </si>
  <si>
    <t>As building-integrated photovoltaic (BIPV) facade systems are applied to the facades of high-density urban building clusters, complex dynamic shadows significantly impact the photovoltaic (PV) performance of the buildings. However, existing methods for calculating building surface shadows exhibit low computational efficiency in handling complex high-density scenarios. This paper proposes a multiscale spatiotemporal selection (MSTS) calculation method for dynamic shadows in complex, high-density environments. The method eliminates irrelevant building surfaces from both spatial and temporal dimensions, and utilizes the interpolation method to reduce the number of calculations. It integrates a direction-distance-backlit-temporal selection model and provides an optimal sorting scheme to accelerate the preprocessing of shadow calculations. This study validates the computational efficiency and accuracy of the proposed MSTS method through two practical case studies. In Case 1, focusing on a PV facade within a complex high-density building clusters in downtown Chengdu, the method achieved a 96% reduction in computational time compared to mature commercial software and at least a 45% improvement over existing acceleration methods, with a mean absolute percentage error (MAPE) of 1.6% for the sunlit area ratio (SAR). The results indicate that, compared to existing methods, the proposed approach significantly improves computational efficiency while maintaining a high level of accuracy. In Case 2, concerning a PV facade in an industrial park in Zhuhai, a comparison with data from an on-site experimental platform yielded an SAR MAPE of 1.83% over the study period. In summary, the calculated results demonstrate a high degree of consistency with real-world observations, with only minimal deviations, thereby validating the reliability of the proposed approach. These results indicate that the proposed method can efficiently and accurately evaluate the shading effects in complex, high-density urban environments, thereby providing robust support for the performance assessment of BIPV facade systems.</t>
  </si>
  <si>
    <t>[Ruan, Dawei; Hu, Mingwei] Shenzhen Univ, State Key Lab Intelligent Geotech &amp; Tunnelling, Shenzhen 518060, Peoples R China; [Ruan, Dawei; Hu, Mingwei] Shenzhen Univ, Key Lab Coastal Urban Resilient Infrastruct, Minist Educ, Shenzhen 518060, Peoples R China; [Ruan, Dawei; Hu, Mingwei; Fan, Cheng] Shenzhen Univ, Coll Civil &amp; Transportat Engn, Shenzhen 518060, Peoples R China; [Ruan, Dawei; Hu, Mingwei] Shenzhen Univ, Underground Polis Acad, Shenzhen 518060, Peoples R China; [Guan, Jun] Far East Facade Zhuhai Ltd, Zhuhai 519000, Peoples R China; [Guan, Jun] China State Construct Int Holding Ltd, Hong Kong, Peoples R China</t>
  </si>
  <si>
    <t>Shenzhen University; Shenzhen University; Shenzhen University; Shenzhen University</t>
  </si>
  <si>
    <t>Hu, MW (corresponding author), Shenzhen Univ, State Key Lab Intelligent Geotech &amp; Tunnelling, Shenzhen 518060, Peoples R China.;Hu, MW (corresponding author), Shenzhen Univ, Key Lab Coastal Urban Resilient Infrastruct, Minist Educ, Shenzhen 518060, Peoples R China.;Hu, MW (corresponding author), Shenzhen Univ, Coll Civil &amp; Transportat Engn, Shenzhen 518060, Peoples R China.;Hu, MW (corresponding author), Shenzhen Univ, Underground Polis Acad, Shenzhen 518060, Peoples R China.</t>
  </si>
  <si>
    <t>humw@szu.edu.cn</t>
  </si>
  <si>
    <t>10.1007/s12273-025-1342-7</t>
  </si>
  <si>
    <t>WOS:001603500200001</t>
  </si>
  <si>
    <t>Su, YY; Zhang, WR; Zhou, N; Deng, GF; Wang, ZC</t>
  </si>
  <si>
    <t>Su, Yongyi; Zhang, Weirong; Zhou, Ning; Deng, Gaofeng; Wang, Zhichao</t>
  </si>
  <si>
    <t>A short-term time-series prediction approach for photovoltaic power generation in residential energy systems</t>
  </si>
  <si>
    <t>residential energy systems; PV; short-term prediction; time-series prediction</t>
  </si>
  <si>
    <t>As distributed energy systems become increasingly prevalent, residential energy systems (RES) equipped with photovoltaics (PV) face significant challenges in maintaining supply-demand balance due to power output fluctuations. This necessitates short-term PV power prediction methods that effectively balance accuracy and deployment cost. To address this issue, this paper proposes a novel short-term PV power prediction approach based on low-cost ground-based sky image sequences: the 3DCNN-DLinear model. The method leverages fisheye camera-captured sky images to extract spatiotemporal features via a three-dimensional convolutional neural network (3DCNN), and integrates a lightweight time-series model, DLinear, to enable efficient prediction. The proposed model was evaluated using real-world data collected in Changping District, Beijing, China. A comparative analysis involving six mainstream time-series models confirmed that DLinear achieved the lowest overall prediction error. Further experiments demonstrated that the 3DCNN-DLinear model reduced RMSE by 49.28%, 9.56%, and 8.82% for 30-, 60-, and 90-minute prediction tasks, respectively, compared to the baseline 3DCNN-LSTM model. Additionally, the study examined the contribution of sky image data to prediction accuracy, revealing significant improvements under varying conditions. Notably, RMSE was reduced by 40.4% and 30.5% under sunny and cloudy conditions, respectively, for the 60-minute task. Overall, the proposed method offers an effective and economically viable solution to improve the predictive performance and intelligent scheduling of RES.</t>
  </si>
  <si>
    <t>[Su, Yongyi; Zhang, Weirong] Beijing Univ Technol, Key Lab Green Built Environm &amp; Energy Efficient Te, Beijing, Peoples R China; [Zhou, Ning] Beijing Uniconstruct Grp Co Ltd, Technol Dev Ctr, Beijing, Peoples R China; [Deng, Gaofeng; Wang, Zhichao] China Acad Bldg Res, State Key Lab Bldg Safety &amp; Built Environm, Beijing, Peoples R China</t>
  </si>
  <si>
    <t>Zhang, WR (corresponding author), Beijing Univ Technol, Key Lab Green Built Environm &amp; Energy Efficient Te, Beijing, Peoples R China.</t>
  </si>
  <si>
    <t>10.1007/s12273-025-1336-5</t>
  </si>
  <si>
    <t>WOS:001602318400001</t>
  </si>
  <si>
    <t>Li, Q; Luo, XW; Hu, MM</t>
  </si>
  <si>
    <t>Li, Qi; Luo, Xiaowei; Hu, Maomao</t>
  </si>
  <si>
    <t>Impact of seasonal wind and building morphology on microclimate and building energy consumption</t>
  </si>
  <si>
    <t>seasonal wind effect; urban microclimate; building morphology; deep learning; building energy consumption</t>
  </si>
  <si>
    <t>URBAN HEAT-ISLAND</t>
  </si>
  <si>
    <t>Accurate building energy simulation (BES) is essential for developing effective energy conservation strategies and implementing evidence-based policy interventions in the built environment. However, BES accuracy is often undermined by unrealistic weather data, as conventional Typical Meteorological Year (TMY) files fail to adequately capture urban microclimate variations. This study proposes a deep learning model that integrates wind-driven building morphology maps for high-resolution temporal microclimate prediction. By combining macro-scale wind dynamics with urban morphological features, encoded as frontal area maps, the model captures seasonal microclimate variations influenced by prevailing wind conditions. Validation conducted on a university campus demonstrates that the proposed model outperforms benchmark approaches in predicting air temperature and relative humidity (RH). The ground truth for validation is the real-time microclimate data collected by weather stations installed across the campus. Compared to TMY files, a standard deep learning model, and a deep learning model with wind directions, the proposed model reduces the root mean squared error (RMSE) in air temperature by 36.3%, 14.2%, and 14.0%, and RMSE in RH by 30.5%, 17.3%, and 17.3%, respectively. When integrated into BES for three test buildings, the model's weather data enabled cooling energy prediction with less than 2% error, significantly outperforming alternative methods. Overall, the proposed model allows cross-building temporal microclimate prediction without requiring long-term weather data collection at the target building.</t>
  </si>
  <si>
    <t>[Li, Qi; Luo, Xiaowei] City Univ Hong Kong, Dept Architecture &amp; Civil Engn, Kowloon, Hong Kong, Peoples R China; [Li, Qi; Hu, Maomao] Natl Univ Singapore, Coll Design &amp; Engn, Dept Built Environm, 4 Architecture Dr, Singapore 117566, Singapore</t>
  </si>
  <si>
    <t>City University of Hong Kong; National University of Singapore</t>
  </si>
  <si>
    <t>Luo, XW (corresponding author), City Univ Hong Kong, Dept Architecture &amp; Civil Engn, Kowloon, Hong Kong, Peoples R China.;Hu, MM (corresponding author), Natl Univ Singapore, Coll Design &amp; Engn, Dept Built Environm, 4 Architecture Dr, Singapore 117566, Singapore.</t>
  </si>
  <si>
    <t>xiaowluo@cityu.edu.hk; maomaohu@nus.edu.sg</t>
  </si>
  <si>
    <t>10.1007/s12273-025-1365-0</t>
  </si>
  <si>
    <t>WOS:001596856500001</t>
  </si>
  <si>
    <t>An, JF; Chao, YC; Du, YH; Yuan, JJ; Zhou, ZH; Zheng, XJ</t>
  </si>
  <si>
    <t>An, Junfan; Chao, Yuechao; Du, Yahui; Yuan, Jianjuan; Zhou, Zhihua; Zheng, Xuejing</t>
  </si>
  <si>
    <t>Adaptive method for dynamic collaborative allocation of heating load in heterogeneous building complex: An adaptive-weighted multi-objective reinforcement learning framework</t>
  </si>
  <si>
    <t>heating load allocation; heterogeneous building complex; multi-objective reinforcement learning; energy saving; satisfaction rates</t>
  </si>
  <si>
    <t>OPERATION; OPTIMIZATION; SYSTEM</t>
  </si>
  <si>
    <t>In response to the distinctly different heating load characteristics within heterogeneous building complex, traditional heating load allocation strategies based on fixed weights can no longer meet the requirements for energy conservation and improving indoor temperature satisfaction rates. This study addresses this problem by proposing an adaptive-weighted multi-objective reinforcement learning (Adaptive-Weighted MORL) framework for a heterogeneous building complex comprising a training gym, office building, dormitory, and cafeteria. The framework achieves dynamic balance optimization between heating load and thermal comfort through an adaptive weight adjustment mechanism integrating proximal policy optimization (PPO) algorithm and non-dominated sorting genetic algorithm II (NSGA-II). PPO learns optimal heating load allocation strategies to adapt to environmental changes, while NSGA-II generates Pareto-optimal solution sets to guide PPO's weight coefficient updates. This mechanism dynamically adjusts the heating load weight and thermal comfort weight, prioritizing thermal comfort weight under extreme weather conditions. Results demonstrate that, compared to the PPO method and traditional fixed-weight approach, the proposed framework achieves an overall energy saving rate of 22.1%, and a peak heating load reduction exceeding 40%, while maintaining indoor temperature satisfaction rates above 91% in most building types. Notably, under extreme conditions (such as the peak load day of March 17), the framework achieves a 39% peak reduction rate and a 22.2% daily energy saving rate. These findings thoroughly validate its effectiveness in complex dynamic environments. Overall, this framework provides an intelligent solution for optimizing heating load allocation across heterogeneous building types, effectively balancing the conflicting objectives of energy efficiency and thermal comfort while adapting to dynamic environmental conditions.</t>
  </si>
  <si>
    <t>[An, Junfan; Chao, Yuechao; Du, Yahui; Zhou, Zhihua; Zheng, Xuejing] Tianjin Univ, Sch Environm Sci &amp; Engn, Tianjin 300350, Peoples R China; [Yuan, Jianjuan] Hebei Univ Technol, Sch Energy &amp; Environm Engn, Tianjin 300401, Peoples R China</t>
  </si>
  <si>
    <t>Tianjin University; Hebei University of Technology</t>
  </si>
  <si>
    <t>Zheng, XJ (corresponding author), Tianjin Univ, Sch Environm Sci &amp; Engn, Tianjin 300350, Peoples R China.;Yuan, JJ (corresponding author), Hebei Univ Technol, Sch Energy &amp; Environm Engn, Tianjin 300401, Peoples R China.</t>
  </si>
  <si>
    <t>yuanjianjuan@hebut.edu.cn; zhengxuejing@tju.edu.cn</t>
  </si>
  <si>
    <t>10.1007/s12273-025-1341-8</t>
  </si>
  <si>
    <t>WOS:001595901800001</t>
  </si>
  <si>
    <t>Ma, L; Zhao, X; Zhang, XW; Lu, MZ; Xie, C</t>
  </si>
  <si>
    <t>Ma, Lan; Zhao, Xu; Zhang, Xiwen; Lu, Mingzhen; Xie, Chao</t>
  </si>
  <si>
    <t>Street view search engine: A data-driven framework for urban imagery analysis and exploration</t>
  </si>
  <si>
    <t>urban imagery; self-organizing maps; image semantic segmentation; visual complexity; isovist; street view search engine</t>
  </si>
  <si>
    <t>QUADRATIC ENTROPY</t>
  </si>
  <si>
    <t>As simulation-informed design gains importance in addressing urban complexity, integrating urban imagery into interactive feedback and decision-making has become increasingly essential. However, this potential remains underused, as urban imagery is often treated as a supporting variable in urban research rather than a core layer of spatial intelligence, hindering informed strategies in city branding, resource allocation, and livability. This study develops a data-driven framework, Street View Search Engine, which integrates urban imagery analysis with interactive exploration to advance human-centered insights into urban visual form. Based on 81,478 street view imagery collected in Hong Kong, China, a dataset comprising 19 visual features was first constructed to represent urban visual information across three categories: physical, impression, and isovist. Subsequently, the machine learning algorithm self-organizing maps was employed to train the dataset, producing a visualized data landscape that re-organizes street views according to their visual similarities. Third, building on the data landscape, this study develops the Street View Search Engine framework to conduct three main tasks: define visual foundations, comprehend streetscape morphology, and evaluate regional visual schemes. These tasks combine general-use exploration with research-oriented analysis: a web-based platform was developed to support general-use exploration (http://47.113.226.77/project1/#/), while various data processing methods were employed to enable in-depth professional investigations. By transforming raw data into a visualizable, computable, and interactive urban imagery system, this study paves the way for evidence-based interventions, strategic resource allocation, and greater public engagement in urban planning.</t>
  </si>
  <si>
    <t>[Ma, Lan; Zhao, Xu; Zhang, Xiwen; Xie, Chao] Guangdong Univ Technol, Sch Architecture &amp; Urban Planning, Guangzhou 510062, Peoples R China; [Lu, Mingzhen] Hong Kong Polytech Univ, Dept Mech Engn, Hong Kong, Peoples R China</t>
  </si>
  <si>
    <t>Guangdong University of Technology; Hong Kong Polytechnic University</t>
  </si>
  <si>
    <t>Xie, C (corresponding author), Guangdong Univ Technol, Sch Architecture &amp; Urban Planning, Guangzhou 510062, Peoples R China.</t>
  </si>
  <si>
    <t>xiec61@gdut.edu.cn</t>
  </si>
  <si>
    <t>10.1007/s12273-025-1363-2</t>
  </si>
  <si>
    <t>WOS:001595631000001</t>
  </si>
  <si>
    <t>Chinde, V; Woldekidan, K; Bonnema, E; Xiong, J; Saha, A; Saunders, M; Wheeler, G</t>
  </si>
  <si>
    <t>Chinde, Venkatesh; Woldekidan, Korbaga; Bonnema, Eric; Xiong, Jie; Saha, Avijit; Saunders, Mike; Wheeler, Grant</t>
  </si>
  <si>
    <t>Integration of a grey-box refrigerated case model in EnergyPlus via Python plugin</t>
  </si>
  <si>
    <t>grey-box model; refrigeration; EnergyPlus; Python API; case credits</t>
  </si>
  <si>
    <t>INFILTRATION-RATE</t>
  </si>
  <si>
    <t>Commercial buildings, in particular grocery stores (due mainly to their large refrigeration load), provide opportunities for energy cost reductions. Grocery stores could offer substantial load flexibility to the power grid through participation in demand response programs because of their usage patterns and relatively high energy intensity. This load flexibility could come from modifying the control of heating, ventilation, and air conditioning (HVAC) systems, refrigeration systems, or both. Although estimation of the HVAC system's load flexibility potential is relatively targeted in the literature, estimating load flexibility of refrigeration systems is nascent and has been a challenge, in part because of the lack of proper simulation tools that capture the dynamics in the refrigeration cases. The existing refrigerated case model within EnergyPlus, a whole building energy simulation program, assumes a constant case temperature throughout the simulation period and does not explicitly model the cycling of the compressor serving the refrigerated case. In addition, it does not encompass modeling of temperatures of the product inside the refrigerated case. This difference between modeled and actual operation can be a barrier to the development of demand control algorithm and accurate analysis of load flexibility potential. In this paper, we present a grey-box model for modeling refrigerated cases in grocery stores, which include medium temperature and low temperature. Four cases are modeled; two are low-temperature closed cases and two are medium-temperature cases with one closed and one open. Data from an experimental facility are used to train and test the models. Results demonstrate the efficacy of the grey-box models in predicting the temperatures. This model is integrated into EnergyPlus to capture the dynamic effects of case temperature on the environment and enhance the calculation of sensible and latent heat exchange with the environment (case credits). These enhancements can be leveraged more broadly to model advanced refrigeration controls such as defrost, develop and test unique algorithms that could affect refrigeration interactions with HVAC, and refine store design for any commercial building with refrigeration.</t>
  </si>
  <si>
    <t>[Chinde, Venkatesh; Woldekidan, Korbaga; Bonnema, Eric; Xiong, Jie; Saha, Avijit; Wheeler, Grant] Natl Renewable Energy Lab, Golden, CO 80401 USA; [Saunders, Mike] Copeland, Dayton, OH 45409 USA</t>
  </si>
  <si>
    <t>United States Department of Energy (DOE); National Renewable Energy Laboratory - USA</t>
  </si>
  <si>
    <t>Chinde, V (corresponding author), Natl Renewable Energy Lab, Golden, CO 80401 USA.</t>
  </si>
  <si>
    <t>Venkatesh.chinde@nrel.gov</t>
  </si>
  <si>
    <t>10.1007/s12273-025-1352-5</t>
  </si>
  <si>
    <t>WOS:001591911600001</t>
  </si>
  <si>
    <t>Jiang, M; Chen, YM; Liu, XP; Gao, JD</t>
  </si>
  <si>
    <t>Jiang, Ming; Chen, Yimin; Liu, Xiaoping; Gao, Jinding</t>
  </si>
  <si>
    <t>Automated site layout generation for buildings using graph constrained generative adversarial network</t>
  </si>
  <si>
    <t>site layout generation; graph variational autoencoder; generative adversarial network; node post-processing method</t>
  </si>
  <si>
    <t>CHINA; DESIGN</t>
  </si>
  <si>
    <t>Developing artificial intelligence-based methods for automated site layout generation can significantly reduce the time and manual effort required in urban planning and design processes. To this end, generative adversarial networks (GANs) have been used in many applications. However, conventional GAN-based models have rarely considered the geometric relations between parcels and buildings, and the generated layouts often fail to meet the design requirements due to the poor integration of essential building attributes. To address these issues, this study proposes a model based on a graph constrained GAN (GCGAN), which consists of a graph variational autoencoder (GraphVAE) and a GAN framework. In this model, parcels are represented as tuples, while site layouts within each parcel are encoded as graphs with ring topology to capture spatial and relational structures. GraphVAE is then trained to generate site layout graphs considering parcel attributes and building design parameters (e.g., number of buildings). Furthermore, GAN is trained to generate the layouts of building objects according to the graphs produced by GraphVAE. The GCGAN model is evaluated with a dataset that comprises parcels and their corresponding site layouts in the Guangdong-Hong Kong-Macao Greater Bay Area in southern China. Comparative experiments reveal that GCGAN model outperforms other models such as GANmapper, Pix2Pix, and ESGAN in terms of more realistic building patterns and attributes. With its satisfactory performance, the proposed model has the potential to support the planning and design of urban (re)development by providing reliable simulations of site layouts.</t>
  </si>
  <si>
    <t>[Jiang, Ming; Chen, Yimin; Liu, Xiaoping; Gao, Jinding] Sun Yat Sen Univ, Sch Geog &amp; Planning, Guangdong Key Lab Urbanizat &amp; Geosimulat, Guangzhou, Peoples R China</t>
  </si>
  <si>
    <t>Chen, YM (corresponding author), Sun Yat Sen Univ, Sch Geog &amp; Planning, Guangdong Key Lab Urbanizat &amp; Geosimulat, Guangzhou, Peoples R China.</t>
  </si>
  <si>
    <t>chenym49@mail.sysu.edu.cn</t>
  </si>
  <si>
    <t>10.1007/s12273-025-1350-7</t>
  </si>
  <si>
    <t>WOS:001590035000001</t>
  </si>
  <si>
    <t>Urban scale vehicle-to-building-to-grid integration leveraging human mobility modeling for enhanced grid flexibility</t>
  </si>
  <si>
    <t>electric vehicles; distributed energy resources; smart EV bidirectional charging; model predictive control; vehicle-to-building-to-grid; urban scale building energy modeling</t>
  </si>
  <si>
    <t>PREDICTIVE CONTROL; ENERGY MANAGEMENT; SMART BUILDINGS; FRAMEWORK; BEHAVIOR; DEMAND; IMPACT</t>
  </si>
  <si>
    <t>Across the U.S., the increasing demand for electric vehicle (EV) charging infrastructure is placing new demands on the power grid, challenging its stability and efficiency. To address these challenges, this study proposes a Vehicle-to-Building-to-Grid (V2B2G) framework that incorporates urban-scale human mobility modeling to optimize EV charging and discharging. Using anonymized GPS traces from the study community, we extracted individual mobility patterns and applied kernel-density estimation to predict departure and arrival times for each user. The framework was tested in a mixed-use community in Phoenix, Arizona that includes both residential and commercial buildings. A comprehensive decentralized model predictive control (MPC) framework is implemented to minimize energy costs and enhance grid flexibility through demand-side management while maintaining occupant comfort. Four different control strategies were designed and evaluated, the strategy which balances both user and grid benefits demonstrated the best performance, achieving: (1) a flattened grid net load curve, with a 56% reduction in on-peak demand and a 56% decrease in peak load rebound; (2) a 37.96% reduction in grid net load compared to the baseline control; and (3) a 68.05% performance improvement when considering six flexibility factors: cost savings, total-energy reduction, on-peak demand reduction, off-peak demand reduction, load shifting from peak to non-peak hours, and peak-load-rebound reduction. These findings enhance our understanding of the impacts of urban mobility and EV charging optimization on grid management.</t>
  </si>
  <si>
    <t>[Liu, Yapan] Fraunhofer USA, Ctr Mfg Innovat, 15 St Marys St, Brookline, MA 02446 USA; [Liu, Yapan; Dong, Bing] Syracuse Univ, Dept Mech &amp; Aerosp Engn, 263 Link Hall, Syracuse, NY 13244 USA</t>
  </si>
  <si>
    <t>Fraunhofer Gesellschaft; Fraunhofer USA; Syracuse University</t>
  </si>
  <si>
    <t>10.1007/s12273-025-1346-3</t>
  </si>
  <si>
    <t>WOS:001589148600001</t>
  </si>
  <si>
    <t>Tan, W; Wang, YZ; Fu, QM; Lu, Y; Chen, JP</t>
  </si>
  <si>
    <t>Tan, Wei; Wang, Yunzhe; Fu, Qiming; Lu, You; Chen, Jianping</t>
  </si>
  <si>
    <t>A collaborative mixture of experts framework for building energy consumption prediction</t>
  </si>
  <si>
    <t>energy consumption prediction; mixture-of-experts; deep learning; expert label propagation</t>
  </si>
  <si>
    <t>Accurate prediction of energy consumption is crucial in the field of building energy efficiency, where artificial intelligence plays a significant role. However, existing methods still face considerable challenges in predicting complex energy consumption. Traditional models primarily aim to optimize overall objectives but often overlook local characteristics in the data, which places higher demands on the learning and generalization capabilities of predictive models. This paper introduces the Mixture of Experts for Time Series Prediction (MOETS) framework, which is a multi-expert collaborative forecasting framework designed to address the limitations of traditional models in forecasting diverse building energy consumption patterns. MOETS employs a cross-attention expert label propagation mechanism to dynamically select and activate the most suitable expert model from ExpertNet for prediction based on series characteristics, thereby achieving high prediction accuracy while maintaining exceptional computational efficiency. To optimize the number of expert models in ExpertNet, which directly impacts prediction accuracy, we developed an auxiliary visual system. This tool enables users to determine the optimal number of expert models, incorporate domain knowledge, and annotate subsets of data with expert series labels, thereby enhancing the accuracy of MOETS and reducing the time required for manual tuning. Additionally, users annotate subsets of data with expert series labels to guide the allocation of expert models within MOETS. We tested MOETS on seven datasets. The results show that compared to the baseline model, MOETS achieved a maximum reduction of 8.1% in RMSE and a maximum reduction of 6.2% in MAE. Additionally, the prediction speed was improved by 29.8%.</t>
  </si>
  <si>
    <t>[Tan, Wei; Wang, Yunzhe; Fu, Qiming; Lu, You; Chen, Jianping] Suzhou Univ Sci &amp; Technol, Sch Elect &amp; Informat Engn, Suzhou 215009, Jiangsu, Peoples R China; [Tan, Wei; Wang, Yunzhe; Fu, Qiming; Lu, You; Chen, Jianping] Suzhou Univ Sci &amp; Technol, Jiangsu Prov Key Lab Intelligent Energy Efficiency, Suzhou 215009, Jiangsu, Peoples R China; [Chen, Jianping] Suzhou Univ Sci &amp; Technol, Sch Architecture &amp; Urban Planning, Suzhou 215009, Jiangsu, Peoples R China</t>
  </si>
  <si>
    <t>Suzhou University of Science &amp; Technology; Suzhou University of Science &amp; Technology; Suzhou University of Science &amp; Technology</t>
  </si>
  <si>
    <t>Wang, YZ (corresponding author), Suzhou Univ Sci &amp; Technol, Sch Elect &amp; Informat Engn, Suzhou 215009, Jiangsu, Peoples R China.;Wang, YZ (corresponding author), Suzhou Univ Sci &amp; Technol, Jiangsu Prov Key Lab Intelligent Energy Efficiency, Suzhou 215009, Jiangsu, Peoples R China.</t>
  </si>
  <si>
    <t>yunzhe1991@mail.usts.edu.cn</t>
  </si>
  <si>
    <t>10.1007/s12273-025-1334-7</t>
  </si>
  <si>
    <t>SEP 2025</t>
  </si>
  <si>
    <t>WOS:001581951100001</t>
  </si>
  <si>
    <t>Liu, L; Gan, XW; Ren, ZP; Hang, J; Zhang, XL; Ji, YC</t>
  </si>
  <si>
    <t>Liu, Lin; Gan, Xiwei; Ren, Zhoupeng; Hang, Jian; Zhang, Xiaolin; Ji, Yuchen</t>
  </si>
  <si>
    <t>Mapping approach for emotional response to urban visual environments based on street view images and EEG signals</t>
  </si>
  <si>
    <t>urban landscape; emotional response; deep learning; street view image; EEG</t>
  </si>
  <si>
    <t>SELF-ASSESSMENT MANNEQUIN; BRAIN; SCENES</t>
  </si>
  <si>
    <t>Urban visual environment plays a critical role in city planning and public health by influencing residents' emotional responses. However, existing studies rely on subjective assessments of small-scale areas, lacking objective, large-scale emotional maps. This study introduces a novel electroencephalogram (EEG)-based framework to quantify emotional responses to urban visual environments. First, urban visual indicators are extracted from 352,112 street view images (SVI) in Guangzhou and 680,280 in Shenzhen using a deep learning-based semantic segmentation. Then, EEG experiments are conducted with 24 participants exposed to four groups of SVI visual stimuli, employing machine learning models to quantify relationships between visual indicators and emotions. Finally, a series of models are integrated to generate city-wide visual emotional maps across four emotion dimensions and valence-arousal space. Results show that the models established between the visual environment and emotional responses display R-2 values in the range of 0.39 to 0.69, enabling visual emotional mapping. Correlation analysis further shows a higher green view index and color entropy significantly correlate with positive emotions (p &lt; 0.01). Conversely, elevated building density and openness are linked to negative emotions (p &lt; 0.01). In terms of HAPV (high-arousal, positive-valence) dimensions, Shenzhen had higher emotion scores than Guangzhou, with mean values of 0.237 and 0.226, respectively. These differences correspond to colorful urban center landscapes in Shenzhen and predominantly green landscapes in Guangzhou as a result of their different urban planning strategy. This study contributes to the optimization and transformation of urban landscapes for improved visual comfort.</t>
  </si>
  <si>
    <t>[Liu, Lin; Gan, Xiwei] Guangdong Univ Technol, Sch Civil &amp; Transportat Engn, Guangzhou 510006, Peoples R China; [Ren, Zhoupeng] Chinese Acad Sci, Inst Geog Sci &amp; Nat Resources Res, State Key Lab Resources &amp; Environm Informat Syst, Beijing 100101, Peoples R China; [Hang, Jian] Sun Yat Sen Univ Zhuhai, Sch Atmospher Sci, Zhuhai 519082, Peoples R China; [Zhang, Xiaolin] Guangdong Univ Technol, Acad Art &amp; Design, Dept Digital Media &amp; Animat, 729 Dongfeng East Rd, Guangzhou 510090, Peoples R China; [Ji, Yuchen] Shenzhen Univ, Coll Mechatron &amp; Control Engn, Shenzhen 518060, Peoples R China</t>
  </si>
  <si>
    <t>Guangdong University of Technology; Chinese Academy of Sciences; Institute of Geographic Sciences &amp; Natural Resources Research, CAS; Guangdong University of Technology; Shenzhen University</t>
  </si>
  <si>
    <t>Liu, L (corresponding author), Guangdong Univ Technol, Sch Civil &amp; Transportat Engn, Guangzhou 510006, Peoples R China.</t>
  </si>
  <si>
    <t>liulin@gdut.edu.cn</t>
  </si>
  <si>
    <t>10.1007/s12273-025-1344-5</t>
  </si>
  <si>
    <t>WOS:001577107600001</t>
  </si>
  <si>
    <t>Tu, R; Wang, L; Liu, LB; Yang, X</t>
  </si>
  <si>
    <t>Tu, Rang; Wang, Lu; Liu, Lanbin; Yang, Xu</t>
  </si>
  <si>
    <t>Performance analyses and optimization design of a heat recovery system used between data centers and centralized heating systems</t>
  </si>
  <si>
    <t>data center; centralized heating; waste heat recovery; parametric analyses; optimization design</t>
  </si>
  <si>
    <t>WASTE HEAT</t>
  </si>
  <si>
    <t>In this study, a system that recovered waste heat from data center's centralized water-cooling system to preheat centralized heating systems was proposed, and the optimal design parameters were investigated, resolving the mismatch between waste heat and building demand. Firstly, parametric analyses were conducted under the design condition of centralized heating. Effects of mass flow rate and temperature after heat recovery of the data center's chilled water on performances of the system were investigated. The results showed that, there existed an optimal temperature after heat recovery minimizing primary energy consumption of the system for each mass flow rate, and the values of optimal temperature after heat recovery for different mass flow rate were quite different. Then, the optimal mass flow rate and temperature after heat recovery were determined for different heat capacity ratio between heat supply from data center and heat demand of the centralized heating system. With the data center's heat density being 500, 800, and 1100 W/m2, and the ratio varying from 0.25 to 2, the optimal parameters were summarized. Based on the optimized values, a random forest-based parameter estimation model for machine learning tool was yielded to determine the optimal parameters. Percentage errors of the model were within +/- 15%. With the system being designed following the optimization values, primary energy saving ratio was from 58.7% to 78.2% compared with the traditional ones. This work provides a replicable tool a to assist optimal design and equipment selection of the heat recovery system.</t>
  </si>
  <si>
    <t>[Tu, Rang; Wang, Lu] Univ Sci &amp; Technol Beijing, Sch Resources &amp; Safety Engn, Beijing 100083, Peoples R China; [Liu, Lanbin] Univ Sci &amp; Technol Beijing, Sch Future Cities, Beijing 100083, Peoples R China; [Yang, Xu] Univ Sci &amp; Technol Beijing, Sch Automat &amp; Elect Engn, Beijing 100083, Peoples R China</t>
  </si>
  <si>
    <t>University of Science &amp; Technology Beijing; University of Science &amp; Technology Beijing; University of Science &amp; Technology Beijing</t>
  </si>
  <si>
    <t>Liu, LB (corresponding author), Univ Sci &amp; Technol Beijing, Sch Future Cities, Beijing 100083, Peoples R China.</t>
  </si>
  <si>
    <t>10.1007/s12273-025-1331-x</t>
  </si>
  <si>
    <t>WOS:001576707200001</t>
  </si>
  <si>
    <t>Su, FM; Zhu, Y; Pan, JH; Luo, LX; Jing, R; Hu, QR; Wang, W; Sun, YJ</t>
  </si>
  <si>
    <t>Su, Fengmin; Zhu, Yu; Pan, Jinghan; Luo, Linxi; Jing, Rui; Hu, Qinran; Wang, Wei; Sun, Yongjun</t>
  </si>
  <si>
    <t>Energy-efficient urban retrofits benefits from a novel demand-supply network with rapid urban building energy model and network analysis</t>
  </si>
  <si>
    <t>urban building energy modeling (UBEM); urban retrofitting; energy demand-supply; energy-saving potential; photovoltaic (PV) potential</t>
  </si>
  <si>
    <t>OPTIMIZATION; GENERATION; SIMULATION; RENEWAL; SYSTEMS; WUHAN</t>
  </si>
  <si>
    <t>Urban building energy modeling (UBEM) plays a crucial role in analyzing building energy use and has shown that large-scale UBEM can drive energy efficiency and sustainable development through urban retrofitting. However, large-scale UBEM presents challenges, including data acquisition workload, frequent parameter adjustments, and long simulation times. Moreover, the workflow connection between UBEM and urban retrofitting pathways remains unclear. Thus, this study proposes a framework that combines a fast, large-scale UBEM method in a Python environment with renewable energy integration to create energy demand-supply networks. The proposed UBEM method utilizes R-tree for geometric repairs, while EPPY efficiently batch-sets simulation parameters based on building function and performs batch simulations with EnergyPlus to quantify energy demand. Energy demand-supply networks are constructed through an improved gravitational model that considers location and functional mix, along with social network analysis. The framework was applied to Nanjing's historic city center in Jiangsu, China, covering 23,279 buildings across 551 blocks with six functional categories, totaling 54,232,464 m2 of building area. The energy use map reveals that high energy use intensity blocks (over 175 kWh/(m2year)) are distributed in the southern, particularly in commercial and old residential areas, while educational blocks have the highest photovoltaic (PV) potential. The simulation time using the multi-threaded EPPY method was only 14.1% of that with the conventional Ladybug tool for 75 buildings, and about 46.2% for ten urban blocks. Even with PV potential considered, 84.2% of blocks have energy demand exceeding supply, necessitating additional retrofitting. Combined retrofits are more effective than individual retrofits, achieving up to a 16.7% energy savings. This study provides new insights into large-scale UBEM and offers valuable decision-making support for energy-efficient urban retrofitting.</t>
  </si>
  <si>
    <t>[Su, Fengmin; Zhu, Yu; Pan, Jinghan; Luo, Linxi; Wang, Wei] Southeast Univ, Sch Architecture, Nanjing 210096, Jiangsu Provinc, Peoples R China; [Jing, Rui] Xiamen Univ, Coll Energy, Xiamen 361005, Fujian Province, Peoples R China; [Hu, Qinran] Southeast Univ, Sch Elect Engn, Nanjing 210096, Jiangsu Provinc, Peoples R China; [Wang, Wei] Southeast Univ, Minist Educ, Key Lab Urban &amp; Architectural Heritage Conservat, Nanjing, Peoples R China; [Sun, Yongjun] City Univ Hong Kong, Dept Architecture &amp; Civil Engn, Hong Kong, Peoples R China</t>
  </si>
  <si>
    <t>Southeast University - China; Xiamen University; Southeast University - China; Southeast University - China; City University of Hong Kong</t>
  </si>
  <si>
    <t>Wang, W (corresponding author), Southeast Univ, Sch Architecture, Nanjing 210096, Jiangsu Provinc, Peoples R China.;Wang, W (corresponding author), Southeast Univ, Minist Educ, Key Lab Urban &amp; Architectural Heritage Conservat, Nanjing, Peoples R China.;Sun, YJ (corresponding author), City Univ Hong Kong, Dept Architecture &amp; Civil Engn, Hong Kong, Peoples R China.</t>
  </si>
  <si>
    <t>10.1007/s12273-025-1326-7</t>
  </si>
  <si>
    <t>WOS:001574632800001</t>
  </si>
  <si>
    <t>Hatif, IH; Wong, KY; Tan, HY; Kek, HY; Zaki, SA; Kamar, HM</t>
  </si>
  <si>
    <t>Hatif, Ihab Hasan; Wong, Keng Yinn; Tan, Huiyi; Kek, Hong Yee; Zaki, Sheikh Ahmad; Kamar, Haslinda Mohamed</t>
  </si>
  <si>
    <t>Influence of breathing modes on respiratory pathogen transmission during cough exposure</t>
  </si>
  <si>
    <t>breathing modes; cough droplets; human exhalation; infection risk; computational fluid dynamics</t>
  </si>
  <si>
    <t>PERSONAL EXPOSURE; EXHALED AIR; DEPOSITION; INFECTION; FLOW; DROPLETS</t>
  </si>
  <si>
    <t>The risk of cross-infection arises primarily from close contact between individuals, where the dynamic interaction of their breathing patterns plays a critical role in the transmission and reception of respiratory pathogens. However, the influence of the susceptible individual's breathing mode and its synchronization with an infected person's respiratory activity has been largely overlooked. This study investigates how different breathing modes (mouth or nose breathing) affect the transmission of SARS-CoV-2, used here as a representative virus, during cough exposure. Coughed droplets ranging from 1 to 100 mu m in diameter were tracked using a rigorously validated computational fluid dynamics (CFD) model. The infection risk was quantified using a modified Wells-Riley model. Results reveal that breathing mode significantly influences droplet transport and infection outcomes: mouth exhalation leads to a lower infection risk of 1.38%, compared to 1.71% for nose exhalation, due to its stronger exhaled airflow deflecting incoming contaminated droplets. These findings underscore the importance of considering individual respiratory patterns when assessing exposure risk in close-contact scenarios and can inform more effective infection control strategies.</t>
  </si>
  <si>
    <t>[Hatif, Ihab Hasan] Al Furat Al Awsat Tech Univ, Al Musiab Inst Technol, Najaf, Iraq; [Hatif, Ihab Hasan; Wong, Keng Yinn; Kek, Hong Yee; Kamar, Haslinda Mohamed] Univ Teknol Malaysia, Fac Mech Engn, Johor Baharu, Malaysia; [Tan, Huiyi] Univ Teknol Malaysia, Fac Chem &amp; Energy Engn, Johor Baharu, Malaysia; [Zaki, Sheikh Ahmad] Univ Teknol Malaysia, Malaysia Japan Int Inst Technol, Kuala Lumpur, Malaysia; [Kek, Hong Yee] Univ Reading Malaysia, Sch Built Environm, Johor Baharu, Malaysia</t>
  </si>
  <si>
    <t>Al-Furat Al-Awsat Technical University; Universiti Teknologi Malaysia; Universiti Teknologi Malaysia; Universiti Teknologi Malaysia</t>
  </si>
  <si>
    <t>Hatif, IH (corresponding author), Al Furat Al Awsat Tech Univ, Al Musiab Inst Technol, Najaf, Iraq.;Hatif, IH (corresponding author), Univ Teknol Malaysia, Fac Mech Engn, Johor Baharu, Malaysia.</t>
  </si>
  <si>
    <t>h.hatif@graduate.utm.my</t>
  </si>
  <si>
    <t>10.1007/s12273-025-1325-8</t>
  </si>
  <si>
    <t>WOS:001574858200001</t>
  </si>
  <si>
    <t>Wang, HL; Weng, XY; Sun, YJ; Shen, PY</t>
  </si>
  <si>
    <t>Wang, Huilong; Weng, Xiyin; Sun, Yongjun; Shen, Pengyuan</t>
  </si>
  <si>
    <t>A comprehensive framework for building flexibility assessment: RC-Mapping modeling, flexibility quantification, and uncertainty analysis</t>
  </si>
  <si>
    <t>flexibility quantification; RC-Mapping model; demand response; HVAC system</t>
  </si>
  <si>
    <t>HVAC CHILLER CONTROL; DEMAND RESPONSE; THERMAL-MODEL; SYSTEM</t>
  </si>
  <si>
    <t>The increasing integration of renewable energy sources highlights the urgent need for grid flexibility, with buildings serving as key controllable loads. In this context, accurately quantifying building flexibility is essential for enabling effective demand-side management and ensuring reliable grid operations. However, several challenges hinder this quantification. To address these issues, this study proposes a comprehensive flexibility quantification framework. First, a novel RC-Mapping model incorporating an Enumerate-Comparison Method is proposed. The RC-Mapping model can capture the thermal behavior of both the building and the air conditioning system, while the Enumerate-Comparison Method can initialize state parameters in the RC-Mapping model. Compared with the conventional approach, as validated by the experiment, the proposed method can substantially improve RMSE for indoor temperature prediction from 0.542 degrees C to 0.266 degrees C, and the MAPE for flexibility quantification from 27.58% to 10.98%. Second, the study introduces the power reduction-duration curve and temperature variation curves to characterize flexibility from both grid and building perspectives. Specifically, based on the analysis of the power reduction-duration curve, this study provides a systematic analysis of four sources of flexibility and their underlying mechanisms, including the thermal storage of the building, the thermal storage of the HVAC system, the increase of coefficient of performance (COP), and the reduction in cooling load. Finally, the study investigates the impact of uncertainties in COP and internal heat gains on flexibility quantification. According to the result, it is recommended to slightly underestimate the COP and overestimate the internal heat gain schedule to improve the accuracy of flexibility quantification.</t>
  </si>
  <si>
    <t>[Wang, Huilong; Weng, Xiyin] Shenzhen Univ, State Key Lab Intelligent Geotech &amp; Tunnelling, Shenzhen 518060, Peoples R China; [Sun, Yongjun] City Univ Hong Kong, Dept Architecture &amp; Civil Engn, Hong Kong, Peoples R China; [Shen, Pengyuan] Tsinghua Univ, Inst Future Human Habitats, Shenzhen Int Grad Sch, Shenzhen, Peoples R China</t>
  </si>
  <si>
    <t>Shenzhen University; City University of Hong Kong; Tsinghua University</t>
  </si>
  <si>
    <t>Sun, YJ (corresponding author), City Univ Hong Kong, Dept Architecture &amp; Civil Engn, Hong Kong, Peoples R China.;Shen, PY (corresponding author), Tsinghua Univ, Inst Future Human Habitats, Shenzhen Int Grad Sch, Shenzhen, Peoples R China.</t>
  </si>
  <si>
    <t>yongjsun@cityu.edu.hk; pengyuan_pub@163.com</t>
  </si>
  <si>
    <t>10.1007/s12273-025-1348-1</t>
  </si>
  <si>
    <t>WOS:001572706200001</t>
  </si>
  <si>
    <t>Zhou, H; Liu, M; Ma, T; Liu, H; Liu, LM; Hao, ZP; Li, QS; Zheng, ZW; Liu, Z; Zhai, YX; Feng, C</t>
  </si>
  <si>
    <t>Zhou, Hua; Liu, Meng; Ma, Tian; Liu, Huan; Liu, Lumeng; Hao, Zhipeng; Li, Qisheng; Zheng, Zhiwei; Liu, Zhi; Zhai, Yingxian; Feng, Chi</t>
  </si>
  <si>
    <t>A novel predictive model for bacterial growth on kitchen surfaces under thermal variations and user behaviors interactions</t>
  </si>
  <si>
    <t>bacteria; air temperature; cooking; cleaning; residential kitchen; model</t>
  </si>
  <si>
    <t>SALMONELLA-TYPHIMURIUM; INDOOR AIR; CONTAMINATION; PATHOGENS; HYGIENE; AUREUS; MEDIA</t>
  </si>
  <si>
    <t>Residential kitchens are major reservoirs for foodborne pathogens that threaten public health. Effective hygiene management is often hampered by the absence of predictive models for microbial growth under real-world conditions. To this end, this study introduces a novel Gompertz model that incorporates cooking and cleaning effects (Gompertz-CC), developed through a year-long field investigation across eight Chinese cities and controlled laboratory experimentation. Statistical analyses of field data identified air temperature and user behaviors, specifically cooking and cleaning activities, as the most influential factors for bacterial growth. By incorporating cooking and cleaning correction factors that adjust to temperature variations, the new model outperforms the original Gompertz model across all tested conditions (Adj.R2 &gt; 0.902, RMSE &lt; 0.127). It allows for estimation of the critical bacterial rebound times post-cooking and cleaning, which shorten as temperatures rise. In winter, Staphylococcus aureus and Salmonella enterica remain below the safe thresholds for 15-30 hours following disinfection, while during summer months these windows narrow to 3-6 hours. By bridging the gap between laboratory microbiology and real-world kitchen dynamics, the Gompertz-CC model provides a robust framework for adaptive cleaning protocols.</t>
  </si>
  <si>
    <t>[Zhou, Hua; Liu, Meng; Liu, Huan; Liu, Lumeng; Hao, Zhipeng; Li, Qisheng; Zhai, Yingxian] Chongqing Univ, Sch Civil Engn, Chongqing 400045, Peoples R China; [Ma, Tian] China FAW Grp Corp, Res &amp; Dev Inst, Changchun 130050, Peoples R China; [Liu, Huan] Chongqing Univ, Inst Adv Interdisciplinary Studies, Chongqing 400045, Peoples R China; [Feng, Chi] Chongqing Univ, Sch Architecture &amp; Urban Planning, Chongqing 400044, Peoples R China; [Zheng, Zhiwei] Foshan Shunde Dist Midea Washing Appliance Mfg Co, Midea Grp, Foshan 528311, Peoples R China; [Liu, Zhi] Foshan Air Cleaning &amp; Environm Protect Technol Co, Foshan 528000, Peoples R China; [Zhou, Hua; Liu, Meng; Liu, Lumeng; Hao, Zhipeng; Li, Qisheng; Zhai, Yingxian] Chongqing Univ, Natl Ctr Int Res Low Carbon &amp; Green Bldg, Chongqing 400045, Peoples R China; [Zhou, Hua; Liu, Meng; Liu, Lumeng; Hao, Zhipeng; Li, Qisheng; Zhai, Yingxian] Chongqing Univ, Joint Int Res Lab Green Bldg &amp; Built Environm, Minist Educ, Chongqing 400045, Peoples R China</t>
  </si>
  <si>
    <t>Chongqing University; Chongqing University; Chongqing University; Midea; Chongqing University; Chongqing University</t>
  </si>
  <si>
    <t>Liu, H (corresponding author), Chongqing Univ, Sch Civil Engn, Chongqing 400045, Peoples R China.;Liu, H (corresponding author), Chongqing Univ, Inst Adv Interdisciplinary Studies, Chongqing 400045, Peoples R China.;Feng, C (corresponding author), Chongqing Univ, Sch Architecture &amp; Urban Planning, Chongqing 400044, Peoples R China.</t>
  </si>
  <si>
    <t>huanliu@cqu.edu.cn; fengchi860602@cqu.edu.cn</t>
  </si>
  <si>
    <t>10.1007/s12273-025-1349-0</t>
  </si>
  <si>
    <t>WOS:001571539400001</t>
  </si>
  <si>
    <t>Liu, ZX; Dong, HT; Zhang, Y; Du, XQ</t>
  </si>
  <si>
    <t>Liu, Zhixin; Dong, Haotian; Zhang, Yu; Du, Xiaoqing</t>
  </si>
  <si>
    <t>Deep generative framework for predicting non-Gaussian wind pressure on a high-rise building using data from sparse sensors</t>
  </si>
  <si>
    <t>pressure time series prediction; WGAN; boundary layer wind tunnel test</t>
  </si>
  <si>
    <t>COEFFICIENTS</t>
  </si>
  <si>
    <t>Wind pressure acting on building envelopes often demonstrates extreme peak values and high-frequency fluctuations, posing significant challenges for structural safety assessment. This study proposes a wind pressure time series prediction framework, termed C-WGAN-timesplit, that combines consistency constraints, Wasserstein generative adversarial networks (WGAN), and a time-series cross-validation strategy. C-WGAN-timesplit predicts the full pressure field using data from sparse pressure taps through learning the mapping from subset sensors to the full pressure field. The performance of C-WGAN-timesplit was evaluated and compared against generative adversarial networks (GAN) and WGAN using boundary layer wind tunnel test pressure data. Results across multiple evaluation metrics confirm that C-WGAN-timesplit achieves superior predictive accuracy under various wind incidence angles. Comprehensive analyses were conducted across input data volume sensitivity and incidence angles through aerodynamic coefficients, pressure statistics, non-Gaussian characteristics, and local pressure time series. The proposed framework achieved accurate mean pressure prediction using only 1 tap (0.25% coverage), reliable fluctuation prediction with 20 taps (5%), and high-fidelity reconstruction of non-Gaussian pressure characteristics with 40 taps (10%). Furthermore, three representative taps exhibiting pronounced non-Gaussian behavior under typical incidence angles were used to assess time-series prediction performance. The model effectively captured fluctuation features under both 20-tap and 40-tap configurations, though some deviations remained in predicting rare extreme values. Overall, the proposed method provides a promising solution for wind load prediction on building surfaces, with future efforts needed to improve the representation of transient extreme events.</t>
  </si>
  <si>
    <t>[Liu, Zhixin; Dong, Haotian; Zhang, Yu; Du, Xiaoqing] Shanghai Univ, Dept Civil Engn, 99 Shangda Rd, Shanghai 200444, Peoples R China; [Dong, Haotian; Du, Xiaoqing] Shanghai Univ, Res Ctr High Performance Bridges, 99 Shangda Rd, Shanghai 200444, Peoples R China</t>
  </si>
  <si>
    <t>Shanghai University; Shanghai University</t>
  </si>
  <si>
    <t>Dong, HT (corresponding author), Shanghai Univ, Dept Civil Engn, 99 Shangda Rd, Shanghai 200444, Peoples R China.;Dong, HT (corresponding author), Shanghai Univ, Res Ctr High Performance Bridges, 99 Shangda Rd, Shanghai 200444, Peoples R China.</t>
  </si>
  <si>
    <t>haotiandong@shu.edu.cn</t>
  </si>
  <si>
    <t>10.1007/s12273-025-1340-9</t>
  </si>
  <si>
    <t>WOS:001566690300001</t>
  </si>
  <si>
    <t>Gao, XT; Osaragi, T; Ni, JZ; Luo, ZY; Geng, Y; Zhuang, WM</t>
  </si>
  <si>
    <t>Gao, Xinting; Osaragi, Toshihiro; Ni, Jiazhi; Luo, Zhaoyang; Geng, Yang; Zhuang, Weimin</t>
  </si>
  <si>
    <t>A new space utilization assessment paradigm from the perspective of post-occupancy evaluation based on Wi-Fi and Bluetooth positioning systems</t>
  </si>
  <si>
    <t>space utilization; spatio-temporal analysis; post-occupancy evaluation; Wi-Fi and Bluetooth positioning systems; mobile phone data; office</t>
  </si>
  <si>
    <t>ENERGY-EFFICIENCY; OCCUPANCY; COMFORT; ENOUGH</t>
  </si>
  <si>
    <t>Fine-grained spatial utilization enhances post-occupancy evaluation (POE) precision. Traditional methods are limited by lower spatiotemporal resolution and smaller datasets, whereas indoor positioning systems offer high-precision occupancy data. The proposed indoor space utilization index combing spatial scale, occupancy points, and duration of stay to evaluate the distribution of spatio-temporal behavior and utilization rates within functional zones. Among a two-month period, a dataset of over 200,000 unlabeled behavioral data was collected in an open-office building using Wi-Fi and Bluetooth positioning systems. Through data processing and point projection, it is found that: (1) Point data shows spatio-temporal variations across floors, weekdays versus weekends, and different times of day. (2) High-density, long-duration workstation areas are highly utilized, while low-density, short-duration public spaces are underutilized. (3) Multi-functional atriums, open discussion areas, and entrance-linked elevators are most utilized, reflecting employee work patterns. Analysis of Kullback-Leibler divergence across different spatio-temporal units confirmed the reliability of conclusions, demonstrating that 20 weekdays of valid mobile phone data yield consistent results irrespective of grid sizes. This paradigm leverages long-term, non-intrusive, high-precision positioning data from Wi-Fi and Bluetooth systems to accurately track space utilization dynamics in real time across various scales, supporting human-centered POE.</t>
  </si>
  <si>
    <t>[Gao, Xinting; Geng, Yang; Zhuang, Weimin] Tsinghua Univ, Sch Architecture, Beijing 100084, Peoples R China; [Osaragi, Toshihiro] Tokyo Inst Technol, Sch Environm &amp; Soc, Tokyo 1528550, Japan; [Ni, Jiazhi] Tencent Inc, Beijing 100084, Peoples R China; [Luo, Zhaoyang] Harbin Inst Technol, Sch Architecture, Harbin 150001, Peoples R China; [Geng, Yang] Tsinghua Univ, Minist Educ, Key Lab Eco Planning &amp; Green Bldg, Beijing 100084, Peoples R China; [Zhuang, Weimin] Tsinghua Univ, Architectural Design &amp; Res Inst, Beijing 100084, Peoples R China</t>
  </si>
  <si>
    <t>Tsinghua University; Institute of Science Tokyo; Tokyo Institute of Technology; Tencent; Harbin Institute of Technology; Tsinghua University; Tsinghua University</t>
  </si>
  <si>
    <t>Geng, Y; Zhuang, WM (corresponding author), Tsinghua Univ, Sch Architecture, Beijing 100084, Peoples R China.;Geng, Y (corresponding author), Tsinghua Univ, Minist Educ, Key Lab Eco Planning &amp; Green Bldg, Beijing 100084, Peoples R China.;Zhuang, WM (corresponding author), Tsinghua Univ, Architectural Design &amp; Res Inst, Beijing 100084, Peoples R China.</t>
  </si>
  <si>
    <t>gengy@tsinghua.edu.cn; zhuangwm@tsinghua.edu.cn</t>
  </si>
  <si>
    <t>10.1007/s12273-025-1347-2</t>
  </si>
  <si>
    <t>WOS:001564983300001</t>
  </si>
  <si>
    <t>Liang, WH; Zhu, YR; Guo, S; Cui, MH</t>
  </si>
  <si>
    <t>Liang, Weihui; Zhu, Yingrui; Guo, Shan; Cui, Menghan</t>
  </si>
  <si>
    <t>Impact of moisture transfer on formaldehyde emissions from medium-density fiberboard: An experimental and modeling study</t>
  </si>
  <si>
    <t>formaldehyde emissions; medium-density fiberboard; moisture transfer; humidity effect; key emission parameters</t>
  </si>
  <si>
    <t>CHARACTERISTIC PARAMETERS; UREA-FORMALDEHYDE; PARTICLEBOARD; TEMPERATURE; HUMIDITY; SIMULATION</t>
  </si>
  <si>
    <t>Formaldehyde emissions from medium-density fiberboard (MDF) are significantly influenced by humidity. However, existing emission models predominantly rely on static humidity or instantaneous equilibration assumptions, thereby neglecting the effects of dynamic moisture transfer. This study investigated the impact of moisture transfer on formaldehyde emissions using a combined experimental and modeling approach. MDF samples were exposed to equilibrium and moisture transfer conditions in controlled chambers, respectively. Key emission parameters-initial emittable concentration (C0), diffusion coefficient (Dm), and partition coefficient (K)-were regressed based on dynamic measurement data. The results indicated that humidity had a positive correlation with formaldehyde emissions, increasing C0 values more significantly compared to other emission parameters. Moisture transfer introduced directional biases in parameter estimation: inward transfer (from environment to material) reduced Dm by 61% but increased C0 by 136%, whereas outward transfer (from material to environment) elevated Dm by 40% and decreased C0 by 13%. These deviations substantially distorted indoor formaldehyde predictions, with simulations underestimating peak concentrations by 6% for inward transfer scenario and overestimating them by 20% for outward transfer scenario. The findings emphasize the necessity of incorporating transient humidity gradients into emission models to improve the accuracy of indoor air quality assessments.</t>
  </si>
  <si>
    <t>[Liang, Weihui; Zhu, Yingrui; Guo, Shan; Cui, Menghan] Nanjing Univ, Sch Architecture &amp; Urban Planning, Nanjing, Peoples R China</t>
  </si>
  <si>
    <t>Liang, WH (corresponding author), Nanjing Univ, Sch Architecture &amp; Urban Planning, Nanjing, Peoples R China.</t>
  </si>
  <si>
    <t>liangwh@nju.edu.cn</t>
  </si>
  <si>
    <t>10.1007/s12273-025-1339-2</t>
  </si>
  <si>
    <t>WOS:001564975400001</t>
  </si>
  <si>
    <t>Yang, XC; Lian, XK; Zhang, ZY; Wang, P; Ma, S</t>
  </si>
  <si>
    <t>Yang, Xiaochen; Lian, Xiaoke; Zhang, Zhenya; Wang, Ping; Ma, Shuo</t>
  </si>
  <si>
    <t>Hybrid physics-neural-network MPC with stochastic disturbance forecasting for high-inertia thermally activated building systems</t>
  </si>
  <si>
    <t>model predictive control; stochastic disturbance prediction; thermally activated building systems; grey-box model; hybrid physics-NN model</t>
  </si>
  <si>
    <t>MODEL-PREDICTIVE CONTROL; OCCUPANT BEHAVIOR; COOLING SYSTEMS; PERFORMANCE; INFORMATION; SIMULATION; STORAGE</t>
  </si>
  <si>
    <t>Thermally activated building system (TABS) embeds heat exchanging tubes inside the building structure. The high thermal inertia possesses significant energy flexibility potential but also results in challenges for effective control, especially for the situations with unmeasurable stochastic thermal disturbances. This study presents an innovative hybrid model predictive control (MPC) framework that synergistically combines grey-box modeling with neural network-based disturbance prediction, specifically designed to overcome the control challenges of high-thermal-inertia TABS subject to unmeasurable stochastic disturbances. The framework is validated by experimental tests and supports both single and multiple disturbance scenarios. Concerning occupancy and outdoor solar global irradiance as the key stochastic disturbances, different control strategies including the rule-based control (RBC), conventional MPC without disturbance prediction, MPC with single disturbance prediction, MPC with multiple disturbances prediction, are established and systematically compared. Performance metrics including the temperature regulation accuracy, energy consumption, operation cost, and energy flexibility are quantitatively investigated. The results demonstrate that all MPC strategies outperform RBC. Compared to conventional MPC, the disturbance-prediction-coupled MPC reduces temperature constraint violations by 20%-42%, achieves 6% cost savings, and improves energy flexibility by 3.1%-8.6%. The multi-disturbanceprediction MPC shows optimal performance in temperature control, cost savings and energy flexibility enhancement. The proposed framework improves the accuracy of building load forecasting and the control performance of high thermal inertia systems, providing a pathway for optimizing building energy consumption and the coordinated operation efficiency of renewable energy in practical engineering applications.</t>
  </si>
  <si>
    <t>[Yang, Xiaochen; Lian, Xiaoke] Tianjin Univ, Sch Environm Sci &amp; Engn, Tianjin Key Lab Built Environm &amp; Energy Applicat, Tianjin 300072, Peoples R China; [Zhang, Zhenya; Wang, Ping] Anhui Jianzhu Univ, Anhui Prov Key Lab Intelligent Bldg Energy Saving, Hefei 230601, Peoples R China; [Ma, Shuo] Tianjin Chengjian Univ, Sch Energy &amp; Safety Engn, Tianjin 300384, Peoples R China</t>
  </si>
  <si>
    <t>Tianjin University; Anhui Jianzhu University; Tianjin Chengjian University</t>
  </si>
  <si>
    <t>Yang, XC (corresponding author), Tianjin Univ, Sch Environm Sci &amp; Engn, Tianjin Key Lab Built Environm &amp; Energy Applicat, Tianjin 300072, Peoples R China.;Ma, S (corresponding author), Tianjin Chengjian Univ, Sch Energy &amp; Safety Engn, Tianjin 300384, Peoples R China.</t>
  </si>
  <si>
    <t>yang@tju.edu.cn; ms0305@tju.edu.cn</t>
  </si>
  <si>
    <t>10.1007/s12273-025-1338-3</t>
  </si>
  <si>
    <t>WOS:001566200100001</t>
  </si>
  <si>
    <t>Zhang, JH; Zhao, BY; Yang, GD; Zhou, XK; Huang, YJ; Gao, CX; Chen, X; Chen, BM</t>
  </si>
  <si>
    <t>Zhang, Jihan; Zhao, Benyun; Yang, Guidong; Zhou, Xunkuai; Huang, Yijun; Gao, Chuanxiang; Chen, Xi; Chen, Ben M.</t>
  </si>
  <si>
    <t>AI-empowered digital twin modeling for high-precision building defect management integrating UAV and GeoBIM</t>
  </si>
  <si>
    <t>digital twin; AI-assisted building simulation; UAV-based visual inspection; sustainable building maintenance; deep learning for detection</t>
  </si>
  <si>
    <t>INSPECTION</t>
  </si>
  <si>
    <t>Recent advances in artificial intelligence (AI) and cyber-physical systems have fostered innovative approaches to performance assessment and management of existing building stock. This study presents an AI-assisted digital twin (DT) framework for the automated and high-precision detection of fa &amp; ccedil;ade defects in large-scale buildings. Leveraging unmanned aerial vehicles (UAVs) for visual data acquisition, the proposed framework integrates building information modeling (BIM) and geographic information systems (GIS) into a GeoBIM-assisted DT environment. An end-to-end pipeline is developed for defect localization and semantic registration, in which a virtual building model and camera geometry are constructed using geographic metadata. Synthetic views are generated to simulate real image capture conditions, enabling depth-based inference of each defect's spatial location. This facilitates the projection of defect data into georeferenced DT models. A dual-verification method combining image and geographic features is employed to eliminate duplicate detection across overlapping images, and structural context is retrieved via GeoBIM for semantic enrichment of defect information. The proposed system exemplifies the fusion of DT technologies with deep learning and cyber intelligence to enhance defect detection accuracy, resilience optimization, and timely building health monitoring. Experimental validation on a high-rise building in Hong Kong demonstrates the robustness and scalability of the framework, indicating strong potential for smart building maintenance and operation.</t>
  </si>
  <si>
    <t>[Zhang, Jihan; Zhao, Benyun; Yang, Guidong; Zhou, Xunkuai; Huang, Yijun; Gao, Chuanxiang; Chen, Xi; Chen, Ben M.] Chinese Univ Hong Kong, Dept Mech &amp; Automat Engn, Shatin, Hong Kong, Peoples R China; [Zhou, Xunkuai] Tongji Univ, Sch Elect &amp; Informat Engn, Shanghai, Peoples R China</t>
  </si>
  <si>
    <t>Chinese University of Hong Kong; Tongji University</t>
  </si>
  <si>
    <t>Zhao, BY; Chen, X (corresponding author), Chinese Univ Hong Kong, Dept Mech &amp; Automat Engn, Shatin, Hong Kong, Peoples R China.</t>
  </si>
  <si>
    <t>byzhao@mae.cuhk.edu.hk; xichen002@cuhk.edu.hk</t>
  </si>
  <si>
    <t>10.1007/s12273-025-1332-9</t>
  </si>
  <si>
    <t>WOS:001566687300001</t>
  </si>
  <si>
    <t>Wang, Z; Sun, H; Calautit, JK; Yang, MD; Chen, JB; Guan, R; Darkwa, J</t>
  </si>
  <si>
    <t>Wang, Zhe; Sun, Hao; Calautit, John Kaiser; Yang, Mingda; Chen, Jianbin; Guan, Rui; Darkwa, Jo</t>
  </si>
  <si>
    <t>A novel lightweight skeletal temporal model for real-time, computationally efficient recognition of occupant thermal adaptation behavior</t>
  </si>
  <si>
    <t>real-time; lightweight; SlowFast; ST-GCN; OpenPose; LSTM with attention</t>
  </si>
  <si>
    <t>PREDICTION; COMFORT</t>
  </si>
  <si>
    <t>Optimizing building energy systems based on real-time occupant behavior and feedback can lead to improved energy efficiency and enhanced thermal comfort in buildings. Traditional thermal comfort surveys do not provide real-time insights, while conventional sensors, such as thermal sensors, are limited in their ability to capture continuous, detailed occupancy data. Meanwhile, deep learning and computer vision have emerged as promising approaches for real-time occupancy behavior detection, but existing artificial intelligence (AI) models suffer from low frame rates and high computational demands, which can lead to increased energy consumption for processing, potentially offsetting the energy savings achieved through occupant-responsive control. Thus, this study developed a novel occupant thermal adaptation behavior recognition model that balances accuracy, real-time performance and computational resource usage to enable effective operation indoors. Using a multi-camera setup with Raspberry Pi 3B+, a custom dataset comprising 400 video samples was collected from four different angles. The dataset captures four distinct human activities: dressing, undressing, sitting, and standing. Compared to SlowFast (SF) and Spatial Temporal Graph Convolutional Networks (ST-GCN), which are widely used deep learning architectures for action recognition, the proposed novel lightweight skeletal temporal model achieved good accuracy (0.975 accuracy) on the Kungliga Tekniska H &amp; ouml;gskolan (KTH) dataset while significantly outperforming them in detection speed and resource efficiency. It reached 31.38 FPS by running on the graphics processing unit (GPU)-over three times faster than ST-GCN with OpenPose and more than twelve times faster than SF with You Only Look Once Version X (YOLOX)-while maintaining low central processing unit (CPU) and GPU usage at 13.71% and 33.05%, respectively. By running it on the CPU, it achieved 25.3 FPS with 56.10% CPU usage, proving its practicality for platforms without GPU support. When evaluated on the custom dataset, we introduced a double long short-term memory (LSTM) with an attention mechanism to better handle the increased action complexity, preserving a high accuracy of 0.963. Although the frame rate experienced a slight reduction compared to the results on the KTH dataset-dropping from 31.38 to 30.95 FPS on GPU and from 25.3 to 18.98 FPS on CPU-the model exhibited lower CPU and GPU usage, highlighting its potential for energy-efficient deployment in smart building applications. The model was further deployed on an NVIDIA Jetson Orin Nano, enabling stable long-term operation and supporting simultaneous multi-person recognition. Overall, this study presents a practical, AI-driven solution for occupant thermal adaptation behavior recognition, effectively balancing accuracy, real-time performance, and computational efficiency-making it well suited for energy-saving applications in buildings that adapt dynamically to occupant behavior.</t>
  </si>
  <si>
    <t>[Wang, Zhe; Sun, Hao; Calautit, John Kaiser; Chen, Jianbin; Darkwa, Jo] Univ Nottingham, Dept Architecture &amp; Built Environm, Nottingham NG7 2RD, England; [Sun, Hao] Univ Surrey, Dept Civil &amp; Environm Engn, Guildford GU2 7XH, England; [Yang, Mingda] Univ Nottingham, Adv Mfg Bldg, Nottingham NG7 2GX, England; [Guan, Rui] Univ Nottingham Ningbo China, Res Ctr Sustainable Built Environm, Ningbo 315100, Peoples R China</t>
  </si>
  <si>
    <t>University of Nottingham; University of Surrey; University of Nottingham; University of Nottingham Ningbo China</t>
  </si>
  <si>
    <t>Wang, Z; Calautit, JK (corresponding author), Univ Nottingham, Dept Architecture &amp; Built Environm, Nottingham NG7 2RD, England.</t>
  </si>
  <si>
    <t>alyzw22@nottingham.ac.uk; John.Calautit1@nottingham.ac.uk</t>
  </si>
  <si>
    <t>10.1007/s12273-025-1335-6</t>
  </si>
  <si>
    <t>WOS:001561224500001</t>
  </si>
  <si>
    <t>Dai, HG; Liu, XL; Chen, YQ; Zhao, CM; Yuan, JJ; Kong, XF; Liu, W; Yuan, JH</t>
  </si>
  <si>
    <t>Dai, Huageng; Liu, Xianglin; Chen, Yinqi; Zhao, Caimeng; Yuan, Jianjuan; Kong, Xiangfei; Liu, Wei; Yuan, Jihui</t>
  </si>
  <si>
    <t>A novel collaborative optimization method for building energy supply in integrated energy systems considering multiple time scales and demand response</t>
  </si>
  <si>
    <t>integrated energy systems; multiple time scales; demand response; operational optimization</t>
  </si>
  <si>
    <t>OPERATION; CAPACITY; STORAGE</t>
  </si>
  <si>
    <t>Comprehensive energy systems can synergize multiple forms of energy to meet user-side load demand, making full use of renewable energy for energy supply. However, the system often suffers from high instability in renewable energy supply or high variability in demand during operation, resulting in a mismatch between system supply and demand. This mismatch directly affects the energy supply efficiency of the system. The traditional single optimization approach, e.g., the two-stage co-optimization approach, has limitations in achieving both economic and energy savings, particularly as it does not consider the time scale. To address these issues, this study proposes a design framework for a two-layer collaborative optimization approach that incorporates multiple time scales and demand response coordination. The upper layer optimizes the capacity of the energy storage system, while the lower layer optimizes the coordinated operation of the energy supply facilities. In the lower layer optimization, the day-ahead scheduling phase considers tariff-based demand response to shift and curtail hot and cold electricity loads. The intraday optimization stage adjusts the results of the day-ahead scheduling to further optimize energy distribution and utilization, enhancing system economics and environmental friendliness. Analyzed in conjunction with practical cases, the results demonstrate that the optimization method improves the operational stability of the system and can reduce the total annual operating cost by 7.61%. Increasing the use of hybrid energy storage in the integrated energy system reduces total annual operating costs by 4.01%. If the use of demand response is added to the integrated energy system, the total annual operating cost can be reduced by 5.38%. This paper provides a theoretical reference for integrated energy system operation optimization studies.</t>
  </si>
  <si>
    <t>[Dai, Huageng; Liu, Xianglin; Chen, Yinqi; Zhao, Caimeng; Yuan, Jianjuan; Kong, Xiangfei] Hebei Univ Technol, Sch Energy &amp; Environm Engn, Tianjin 300401, Peoples R China; [Liu, Wei] KTH Royal Inst Technol, Dept Civil &amp; Architectural Engn, Div Sustainable Bldg, Brinellvagen 23, S-10044 Stockholm, Sweden; [Yuan, Jihui] Osaka Metropolitan Univ, Grad Sch Human Life &amp; Ecol, Dept Living Environm Design, Osaka 5588585, Japan</t>
  </si>
  <si>
    <t>Hebei University of Technology; Royal Institute of Technology; Osaka Metropolitan University</t>
  </si>
  <si>
    <t>Yuan, JJ; Kong, XF (corresponding author), Hebei Univ Technol, Sch Energy &amp; Environm Engn, Tianjin 300401, Peoples R China.</t>
  </si>
  <si>
    <t>yuanjianjuan@hebut.edu.cn; xfkong@hebut.edu.cn</t>
  </si>
  <si>
    <t>10.1007/s12273-025-1322-y</t>
  </si>
  <si>
    <t>AUG 2025</t>
  </si>
  <si>
    <t>WOS:001560311900001</t>
  </si>
  <si>
    <t>Kong, DZ; Reffat, R; Chen, ZX; Yang, ZS; Ma, HC; Du, DF; Zhang, Z</t>
  </si>
  <si>
    <t>Kong, Dezhou; Reffat, Rabee; Chen, Zhexuan; Yang, Zesheng; Ma, Haocheng; Du, Dengfeng; Zhang, Zhiang</t>
  </si>
  <si>
    <t>Decoupled step-wise simulation-based energy-efficient control for industrial space cooling: Practical validation in a large-scale manufacturing plant</t>
  </si>
  <si>
    <t>industrial HVAC; optimized control; energy efficiency; Modelica modeling; dynamic adjustment strategy</t>
  </si>
  <si>
    <t>HVAC SYSTEM; DRIVEN APPROACH; OPTIMIZATION; MODEL</t>
  </si>
  <si>
    <t>The industrial sector is a predominant contributor to global energy consumption and carbon emissions. In manufacturing plants, district cooling systems account for a large portion of the energy consumption. However, facility operators often lack understanding of the interactions between water-side systems, distribution piping networks, and demand-side systems (air-side systems and production room) due to the complexities of HVAC control management, manufacturing schedules, and heat flow in and around buildings. This results in poor system operation energy efficiency. Specifically, critical control parameters such as chilled water temperature setpoints and equipment sequencing are frequently managed through empirical settings, leading to inefficiencies as the static operation strategy is difficult to adapt to dynamic operating conditions or actual cooling demands. Therefore, this study proposes a decoupled step-wise simulation-based energy-efficient control method as a dynamic adjustment strategy for industrial space air-conditioning. The method establishes and integrates a Modelica-based water-side system model, distribution system model and room thermal response model to dynamically adjust the operation of pumps, and chillers by predicting the status of the demand-side system under different working conditions. Its main advantage lies in the decoupled and step-wise optimization of subsystems, which enhances interpretability, computability and scalability for practical deployment in industrial scenarios. A case study at a large-scale manufacturing plant showed that by applying the dynamic adjustment strategy, this method can contribute to reducing system energy consumption by around 23% during typical cooling seasons compared to the baseline rule-based control, demonstrating the significant potential of the proposed method for improving energy efficiency.</t>
  </si>
  <si>
    <t>[Kong, Dezhou; Reffat, Rabee; Chen, Zhexuan; Yang, Zesheng; Ma, Haocheng; Du, Dengfeng; Zhang, Zhiang] Univ Nottingham Ningbo China, Dept Architecture &amp; Built Environm, Ningbo 315100, Peoples R China</t>
  </si>
  <si>
    <t>University of Nottingham Ningbo China</t>
  </si>
  <si>
    <t>Reffat, R; Zhang, Z (corresponding author), Univ Nottingham Ningbo China, Dept Architecture &amp; Built Environm, Ningbo 315100, Peoples R China.</t>
  </si>
  <si>
    <t>Rabee.Reffat@nottingham.edu.cn; Zhiang.Zhang@nottingham.edu.cn</t>
  </si>
  <si>
    <t>10.1007/s12273-025-1333-8</t>
  </si>
  <si>
    <t>WOS:001563311300001</t>
  </si>
  <si>
    <t>Xu, JC; Yao, QD; Han, WW; Xie, YM; Lv, L; Chu, HQ; Qian, FP</t>
  </si>
  <si>
    <t>Xu, Junchao; Yao, Qingdong; Han, Wuwang; Xie, Yiming; Lv, Li; Chu, Huaqiang; Qian, Fuping</t>
  </si>
  <si>
    <t>Ultralow pressure drop and high efficiency filtration by electrostatically assisted filtration with micro-biochar@PU coarse fibers</t>
  </si>
  <si>
    <t>air filtration; particulate matter; electrostatic assistance; biochar; high efficiency; low resistance</t>
  </si>
  <si>
    <t>OUTDOOR AIR-POLLUTION; POLYVINYLIDENE FLUORIDE; NANOFIBROUS MEMBRANES; PARTICULATE MATTER; FILTER; PARTICLES; REMOVAL</t>
  </si>
  <si>
    <t>PM2.5 can easily penetrate indoor spaces through natural or mechanical ventilation systems, posing a serious threat to human health. Fiber filtration is the predominant technique for indoor particulate matter purification. However, there is an inherent trade-off between achieving high filtration efficiency and maintaining low resistance. Therefore, this study employs a simple and fast adhesive method to fabricate a composite material composed of micro-biochar (BC) and polyurethane (PU) coarse fibers (BC@PU). We developed an electrostatic-assisted air filtration device system that leverages the electrostatic interaction between charged particles and polarized fibers to achieve high-efficiency, low-resistance air filtration. At a face air velocity of 0.4 m/s, the BC-1.5@PU material achieves a remarkable 98.83% removal efficiency for particles in the 0.3-0.5 mu m size range, while maintaining a minimal pressure drop of approximately 7 Pa, with the best CQF (comprehensive quality factor) value of 0.408 Pa-1, which was a remarkable 94.06% improvement over the bare PU material. In addition, the simulation results indicate that the micro-biochar significantly enhances the effective electric field range within the composite fibers. It indicates that this composite fiber holds great potential for air purification in ventilation systems.</t>
  </si>
  <si>
    <t>[Xu, Junchao; Yao, Qingdong; Han, Wuwang; Xie, Yiming; Chu, Huaqiang; Qian, Fuping] Anhui Univ Technol, Sch Energy &amp; Environm, Maanshan 243000, Anhui Province, Peoples R China; [Lv, Li] China Jiliang Univ, Coll Mech &amp; Elect Engn, Hangzhou 310018, Zhejiang Provin, Peoples R China</t>
  </si>
  <si>
    <t>Anhui University of Technology; China Jiliang University</t>
  </si>
  <si>
    <t>Xu, JC; Chu, HQ (corresponding author), Anhui Univ Technol, Sch Energy &amp; Environm, Maanshan 243000, Anhui Province, Peoples R China.</t>
  </si>
  <si>
    <t>junchxu@ahut.edu.cn; hqchust@163.com</t>
  </si>
  <si>
    <t>10.1007/s12273-025-1330-y</t>
  </si>
  <si>
    <t>WOS:001560307900001</t>
  </si>
  <si>
    <t>Zhou, XY; Ding, S; Wu, Y; Zhang, TE; Liu, ZB</t>
  </si>
  <si>
    <t>Zhou, Xuanyi; Ding, Shan; Wu, Yue; Zhang, Tiange; Liu, Zhenbiao</t>
  </si>
  <si>
    <t>CFD simulations of snow drifting on flat roof with a photovoltaic panel: Impact of photovoltaic panel on nearby snow redistributions</t>
  </si>
  <si>
    <t>photovoltaic roof; snow redistribution; snow drifting; numerical simulation; wind tunnel test</t>
  </si>
  <si>
    <t>WIND-TUNNEL TEST; NUMERICAL-SIMULATION; SNOWDRIFT; MODEL; REQUIREMENTS; BUILDINGS; NUMBER; TESTS; LOADS; SCALE</t>
  </si>
  <si>
    <t>With the increasing adoption of zero-emission building concepts, rooftop photovoltaic systems have become widely used. However, the installation of photovoltaic panels alters the nearby snow distribution. To address this, it is essential to study wind-induced snow drifting specifically on photovoltaic roofs. This study employs an improved Eulerian-Eulerian (E-E) simulation method to systematically investigate the characteristics of snow redistribution around a single photovoltaic panel. Both photovoltaic panel with and without ground clearance are examined, focusing on the effects of fetch distance and panel inclination angle on snow drifting. A wind tunnel test was conducted to predict snow redistribution on the roof and photovoltaic panel, and the simulation results showed good overall agreement with the experimental data. The findings show that a longer fetch distance increases the snow transport rate but decreases the snow particle trapping efficiency. For the photovoltaic panel without a ground clearance, a greater inclination angle acts as an increase in obstacle height, reducing snow transport rate but enhancing trapping efficiency. In contrast, for the panel with a ground clearance, a larger inclination angle leads to simultaneous increases in erosion beneath the panel and deposition behind it, thereby increasing both snow transport rate and trapping efficiency. These results provide valuable insights for the design of photovoltaic roofs in snowy regions.</t>
  </si>
  <si>
    <t>[Zhou, Xuanyi; Ding, Shan; Wu, Yue; Zhang, Tiange] Tongji Univ, State Key Lab Disaster Reduct Civil Engn, Shanghai, Peoples R China; [Liu, Zhenbiao] Trina Solar, State Key Lab Photovolta Sci &amp; Technol, Changzhou 213031, Jiangsu, Peoples R China</t>
  </si>
  <si>
    <t>Tongji University; Trina Solar</t>
  </si>
  <si>
    <t>Ding, S (corresponding author), Tongji Univ, State Key Lab Disaster Reduct Civil Engn, Shanghai, Peoples R China.</t>
  </si>
  <si>
    <t>2111037@tongji.edu.cn</t>
  </si>
  <si>
    <t>10.1007/s12273-025-1354-3</t>
  </si>
  <si>
    <t>WOS:001560311100001</t>
  </si>
  <si>
    <t>Kang, YF; Wang, X; Li, YY; Zhao, HH; Yin, HG; Zhai, YC</t>
  </si>
  <si>
    <t>Kang, Yunfei; Wang, Xue; Li, Yanyan; Zhao, Huihui; Yin, Haiguo; Zhai, Yongchao</t>
  </si>
  <si>
    <t>Natural convection heat transfer coefficients for Chinese children and adolescents</t>
  </si>
  <si>
    <t>human thermal comfort; natural convective heat transfer coefficient; human body geometry parameters; children and adolescents; body segments</t>
  </si>
  <si>
    <t>HUMAN-BODY; TURBULENCE MODELS; WIDE-RANGE; AIR-FLOW; CFD; COMFORT; LOSSES; LAYER</t>
  </si>
  <si>
    <t>The natural convective heat transfer coefficient (hn,c) of the human body is a critical parameter for developing a comprehensive mathematical model of human thermal regulation. As age-dependent personalized thermal comfort models advance, the hn,c for children and adolescents need increased attention. This study analyzed the hn,c of 36 human models across six age groups using a numerical simulation method validated by experimental data from the thermal manikin. Our results indicate that hn,c on the human body surface decreases progressively with age. The average hn,c of children and adolescents was higher than those of adults (18-70 yr) by 11.66% (4-6 yr), 9.23% (7-10 yr), 6.67% (11-12 yr), 3.89% (13-15 yr), and 1.67% (16-17 yr). The distribution of hn,c across the human body surface is non-uniform, with the highest values observed on the face, hands, feet, and inner arm regions near the torso. For the upper limbs (hands, forearms, upper arms), lower limbs (feet, thighs, calves), and trunk (chest, back, pelvis), hn,c generally decreased with increasing height level. Body segment length directly influences boundary layer development, exhibiting an inverse relationship with hn,c. Based on geometric dimension analysis, a prediction model for local hn,c was developed, incorporating temperature differences and characteristic dimensions. These findings offer a reference for selecting hn,c in developing personalized thermal comfort models.</t>
  </si>
  <si>
    <t>[Kang, Yunfei; Wang, Xue; Li, Yanyan; Zhai, Yongchao] Xian Univ Architecture &amp; Technol, State Key Lab Green Bldg, Xian 710055, Peoples R China; [Kang, Yunfei; Wang, Xue; Li, Yanyan; Zhai, Yongchao] Xian Univ Architecture &amp; Technol, Coll Architecture, Xian 710055, Peoples R China; [Zhao, Huihui] South China Univ Technol, Sch Future Technol, Guangzhou 511442, Peoples R China; [Yin, Haiguo] Xian Univ Architecture &amp; Technol, Sch Bldg Serv Sci &amp; Engn, Xian 710055, Peoples R China</t>
  </si>
  <si>
    <t>Xi'an University of Architecture &amp; Technology; Xi'an University of Architecture &amp; Technology; South China University of Technology; Xi'an University of Architecture &amp; Technology</t>
  </si>
  <si>
    <t>Zhai, YC (corresponding author), Xian Univ Architecture &amp; Technol, State Key Lab Green Bldg, Xian 710055, Peoples R China.;Zhai, YC (corresponding author), Xian Univ Architecture &amp; Technol, Coll Architecture, Xian 710055, Peoples R China.</t>
  </si>
  <si>
    <t>zhaiyongchao@xauat.edu.cn</t>
  </si>
  <si>
    <t>10.1007/s12273-025-1321-z</t>
  </si>
  <si>
    <t>WOS:001558323700001</t>
  </si>
  <si>
    <t>Liu, LJ; Zhang, Q; Zeng, LP</t>
  </si>
  <si>
    <t>Liu, Lijun; Zhang, Quan; Zeng, Liping</t>
  </si>
  <si>
    <t>Simulation study on thermal performance of latent thermal energy storage with two-phase fluid in data center cooling system</t>
  </si>
  <si>
    <t>data center; thermal energy storage; two-phase flow; thermosyphon; simulation</t>
  </si>
  <si>
    <t>PHASE-CHANGE MATERIAL; HEAT-TRANSFER; REFRIGERATION PLANT; ANALYTICAL-MODEL; SOLIDIFICATION; CONDENSATION; PCM</t>
  </si>
  <si>
    <t>Latent thermal energy storage (LTES) utilizing phase change material (PCM) represents an important energy-balancing technology. This paper develops a numerical model for fin-enhanced LTES and the integrated cooling system within data center. The thermal performance of the LTES and the integrated cooling system is analyzed in terms of working conditions, structural parameters, and server load. The results indicate that the PCM does not undergo complete melting and the vapor refrigerant cannot be fully liquefied within 40 minutes, given an inlet temperature range of 287.15 to 291.15 K and a flow rate between 10 and 18 L/min. The cooling capacity decreases as the transition temperature increases from 11 to 21 degrees C, and increases with height difference ranging from 1.9m to 3.5m. The maximum cooling capacity increases from 4529 to 5178 W as the tube length changes from 1.0 to 1.6 times, while the PCM cross-sectional area has no effects. The cooling capacity exhibits a linear increase with rising server loads. Nevertheless, the integrated cooling system can only maintain air temperatures below the specified thermal limits for durations exceeding 15 minutes when server loads remain below 3000 W. This work demonstrates the potential application of fin-enhanced LTES and its integrated cooling systems in data centers.</t>
  </si>
  <si>
    <t>[Liu, Lijun] Univ South China, Coll Civil Engn, Hengyang 421000, Peoples R China; [Liu, Lijun; Zhang, Quan] Hunan Univ, Coll Civil Engn, Changsha 410082, Peoples R China; [Zeng, Liping] Hunan Inst Engn, Dept Bldg Engn, Xiangtan 411104, Peoples R China</t>
  </si>
  <si>
    <t>University of South China; Hunan University; Hunan Institute of Engineering</t>
  </si>
  <si>
    <t>Zhang, Q (corresponding author), Hunan Univ, Coll Civil Engn, Changsha 410082, Peoples R China.</t>
  </si>
  <si>
    <t>quanzhang@hnu.edu.cn</t>
  </si>
  <si>
    <t>10.1007/s12273-025-1328-5</t>
  </si>
  <si>
    <t>WOS:001556804400001</t>
  </si>
  <si>
    <t>Sun, R; Liu, W; Shi, KZ; Lai, DY</t>
  </si>
  <si>
    <t>Sun, Rui; Liu, Wei; Shi, Kaizhe; Lai, Dayi</t>
  </si>
  <si>
    <t>Fast estimation and evaluation of outdoor thermal environment on a long-term basis in complex urban environments</t>
  </si>
  <si>
    <t>outdoor thermal environment; numerical simulation; fast fluid dynamics</t>
  </si>
  <si>
    <t>STREET CANYON; POLLUTANT DISPERSION; RE-INDEPENDENCE; CFD SIMULATION; TURBULENT-FLOW; ASPECT RATIO; COMFORT; CLIMATE; HOT; ORIENTATION</t>
  </si>
  <si>
    <t>Urban outdoor thermal environment (OTE) plays a crucial role in shaping the comfort and livability of cities, especially in complex urban settings where a variety of factors influence thermal conditions. This study presents a high-resolution, computationally efficient framework for simulating and evaluating OTE, incorporating detailed vegetation modeling and optimized long-term simulations for wind and mean radiant temperature (MRT). The framework utilizes satellite imagery to capture city geometry, identifying buildings, trees, and water bodies. It combines fast fluid dynamics (FFD) and proper orthogonal decomposition (POD) for efficient wind estimations, alongside ParaCore ray-tracing algorithms for MRT calculations. Thermal comfort is quantified through the universal thermal climate index (UTCI). The framework is validated with measured data from Shanghai Jiao Tong University (SJTU) campus, showing robust predictive performance with an R2 value of 0.95 for UTCI estimations. The SJTU campus, covering 3.09 square kilometers and spanning 6,570 hours of outdoor activity over a year, is evaluated in just 5.67 hours, demonstrating the framework's computational efficiency. The results provide valuable insights for urban planners, including outdoor thermal comfort autonomy (OTCA) maps that highlight areas needing improvement, as well as hourly thermal stress (TS) evaluations to identify critical discomfort periods. These outputs support strategic decisions on functional zoning, campus renewal, and seasonal adaptive design, ultimately enhancing urban sustainability.</t>
  </si>
  <si>
    <t>[Sun, Rui; Lai, Dayi] Shanghai Jiao Tong Univ, Sch Design, Dept Architecture, 800 Dongchuan Rd, Shanghai 200240, Peoples R China; [Sun, Rui; Liu, Wei; Shi, Kaizhe] Tianjin Univ, Sch Environm Sci &amp; Engn, Tianjin Key Lab Indoor Air Environm Qual Control, 92 Weijin Rd, Tianjin 300072, Peoples R China; [Lai, Dayi] Shanghai Jiao Tong Univ, Global Inst Future Technol, 800 Dongchuan Rd, Shanghai 200240, Peoples R China</t>
  </si>
  <si>
    <t>Shanghai Jiao Tong University; Tianjin University; Shanghai Jiao Tong University</t>
  </si>
  <si>
    <t>Lai, DY (corresponding author), Shanghai Jiao Tong Univ, Sch Design, Dept Architecture, 800 Dongchuan Rd, Shanghai 200240, Peoples R China.;Liu, W (corresponding author), Tianjin Univ, Sch Environm Sci &amp; Engn, Tianjin Key Lab Indoor Air Environm Qual Control, 92 Weijin Rd, Tianjin 300072, Peoples R China.;Lai, DY (corresponding author), Shanghai Jiao Tong Univ, Global Inst Future Technol, 800 Dongchuan Rd, Shanghai 200240, Peoples R China.</t>
  </si>
  <si>
    <t>weiliu@tju.edu.cn; dayi_lai@sjtu.edu.cn</t>
  </si>
  <si>
    <t>10.1007/s12273-025-1323-x</t>
  </si>
  <si>
    <t>WOS:001556043200001</t>
  </si>
  <si>
    <t>Zeng, PY; Yin, J; Huang, YJ; Zhong, J; Lu, S</t>
  </si>
  <si>
    <t>Zeng, Pengyu; Yin, Jun; Huang, Yujian; Zhong, Jing; Lu, Shuai</t>
  </si>
  <si>
    <t>AI-based generation and optimization of energy-efficient residential layouts controlled by contour and room number</t>
  </si>
  <si>
    <t>energy-efficient residential buildings; floor plan generation; energy optimization; diffusion model; AI-aided residential design</t>
  </si>
  <si>
    <t>INDOOR ENVIRONMENTAL PERFORMANCE; EVOLUTIONARY OPTIMIZATION; AUTOMATIC-GENERATION; DESIGN; CONSUMPTION; BUILDINGS; PREDICTION; ALGORITHM; IMPACT; SPACES</t>
  </si>
  <si>
    <t>Residential energy use accounts for a substantial portion of global consumption, making its reduction critical for sustainable architectural design. However, existing generative models for residential layouts often overlook energy performance, resulting in inefficient designs and costly revisions. To address this, we propose an AI-based framework that integrates generative model, energy prediction, and evolutionary optimization. Our framework comprises three components: (1) Energy prediction: a deep learning model trained on energy simulations of 71,125 floor plans from the RPLAN dataset predicts monthly energy consumption across five categories with over 99% accuracy. (2) Generative model: a diffusion-based layout generator uses room blocks and residential contours to create diverse, high-quality floor plans under spatial constraints. (3) Optimization: a genetic algorithm iteratively refines floor plans by selecting low-energy solutions and regenerating new options, guided by the predictive model. Experiments show that our method reduces energy consumption by 17.5% compared to the best baseline model under identical conditions, demonstrating its effectiveness in reducing residential energy use. Our key contributions include the use of room blocks as chromosomes for layout evolution, and the integration of AI-based prediction and generation for energy-aware residential design.</t>
  </si>
  <si>
    <t>[Zeng, Pengyu; Yin, Jun; Huang, Yujian; Zhong, Jing; Lu, Shuai] Tsinghua Univ, Shenzhen Int Grad Sch, Shenzhen, Peoples R China</t>
  </si>
  <si>
    <t>Lu, S (corresponding author), Tsinghua Univ, Shenzhen Int Grad Sch, Shenzhen, Peoples R China.</t>
  </si>
  <si>
    <t>shuai.lu@sz.tsinghua.edu.cn</t>
  </si>
  <si>
    <t>10.1007/s12273-025-1337-4</t>
  </si>
  <si>
    <t>WOS:001556076800001</t>
  </si>
  <si>
    <t>Garboushian, R; Sigouin, Y; Elmalky, AM; Araji, MT</t>
  </si>
  <si>
    <t>Garboushian, Razmig; Sigouin, Yannik; Elmalky, Adham M.; Araji, Mohamad T.</t>
  </si>
  <si>
    <t>Adaptive reuse strategies in urban centers: Experimental validation using neural networks and real building data</t>
  </si>
  <si>
    <t>adaptive reuse modeling; urban energy efficiency; daylighting simulation; neural networks; renewable energy integration</t>
  </si>
  <si>
    <t>DOUBLE SKIN FACADES; ENERGY PERFORMANCE; NATURAL VENTILATION; OFFICE BUILDINGS; DESIGN; EFFICIENCY; RETROFIT; OPTIMIZATION; FENESTRATION; GEOMETRY</t>
  </si>
  <si>
    <t>Adaptive reuse in urban centers aims to achieve net-zero energy goals by lowering energy consumption and improving thermal comfort in existing buildings. The combined effects of building expansions on energy performance, and daylighting availability remain unexplored. This paper developed a novel simulation model by applying multi-building data and neural-networks framework to examine the impact of adaptive reuse through variables including number of floors, energy generation, fa &amp; ccedil;ade glazing, and building expansions in various directions. The developed model was validated by comparing simulated and actual energy use of several buildings, yielding an average error of 7.88%. This error represents the deviation between the simulated and actual energy use intensity values. Energy demand reduced by expansion along the East-West axis was 41% greater than that from expansion in the South direction. This was confirmed by sensitivity analysis, with R values of approximately 0.68 for East and West expansions, and 0.16 for the South. Overall, this study demonstrates that expanding buildings in the East-West direction tends to be the most energy-efficient approach for increasing occupied spaces, with its effectiveness potentially influenced by factors such as site location, building orientation, and climatic conditions.</t>
  </si>
  <si>
    <t>[Garboushian, Razmig; Sigouin, Yannik; Araji, Mohamad T.] Univ Waterloo, Sch Architecture, 7 Melville St S, Cambridge, ON N1S 2H4, Canada; [Elmalky, Adham M.; Araji, Mohamad T.] Univ Waterloo, Mech &amp; Mechatron Engn, 200 Univ Ave W, Waterloo, ON N2L 3G1, Canada</t>
  </si>
  <si>
    <t>University of Waterloo; University of Waterloo</t>
  </si>
  <si>
    <t>Elmalky, AM (corresponding author), Univ Waterloo, Mech &amp; Mechatron Engn, 200 Univ Ave W, Waterloo, ON N2L 3G1, Canada.</t>
  </si>
  <si>
    <t>aelmalky@uwaterloo.ca</t>
  </si>
  <si>
    <t>10.1007/s12273-025-1310-2</t>
  </si>
  <si>
    <t>WOS:001550016600001</t>
  </si>
  <si>
    <t>Anbarasu, S; Hinkelman, K; Zuo, WD</t>
  </si>
  <si>
    <t>Anbarasu, Saranya; Hinkelman, Kathryn; Zuo, Wangda</t>
  </si>
  <si>
    <t>Thermo-hydraulic steam pipe models for district heating simulations: Simplifications to balance accuracy and simulation speed</t>
  </si>
  <si>
    <t>steam; thermo-hydraulics; condensation; Modelica; scaling; computational speed</t>
  </si>
  <si>
    <t>FLOW; NETWORK; CONDENSATION; OPTIMIZATION; ELECTRICITY; WATER</t>
  </si>
  <si>
    <t>Steam piping networks are essential for optimizing performance in industrial processes and district heating systems. However, dynamic models that balance thermo-hydraulic accuracy with computational efficiency remain limited. In response, this paper presents a new discretized steam pipe model based on the plug flow approach, capturing key thermo-hydraulic behaviors while simplifying steam phase change processes. Implemented in Modelica, the model accurately calculates temperature and pressure distributions along steam pipelines. To improve computational efficiency for district-scale simulations, five model simplifications are introduced: lumped thermo-hydraulic functions, empirical correlations, fluid state approximations, steady-state dynamics and inclusion of flow derivatives. These simplified models achieve 85%-98% accuracy in predicting pressure drop and condensation losses, including dynamic condensate behavior during pipe warm-up-a factor often overlooked in existing models. The models support diverse network configurations, scaling effectively to systems with multiple distribution pipes and connected building loads. Discrete models provide detailed insights but exhibit a cubic increase in simulation time as the network scales by N connected building O(N2.42). In contrast, lumped models simulate 10-28 times faster than discrete, offering quadratic scaling of simulation time O(N1.73). However, they still require 6 times more computation time than a lossless network, highlighting the inherent computational challenges of modeling compressible fluid flow. The steady-state lumped variant, with its near-linear scalability in computational time O(N1.01), emerges as an efficient solution for preliminary design evaluations and extensive parametric studies.</t>
  </si>
  <si>
    <t>[Anbarasu, Saranya; Zuo, Wangda] Penn State Univ, Architectural Engn, University Pk, PA 16802 USA; [Hinkelman, Kathryn] Univ Vermont, Civil &amp; Environm Engn, Burlington, VT USA; [Zuo, Wangda] Natl Renewable Energy Lab NREL, Golden, CO 80401 USA</t>
  </si>
  <si>
    <t>Pennsylvania Commonwealth System of Higher Education (PCSHE); Pennsylvania State University; Pennsylvania State University - University Park; University of Vermont; United States Department of Energy (DOE); National Renewable Energy Laboratory - USA</t>
  </si>
  <si>
    <t>Zuo, WD (corresponding author), Penn State Univ, Architectural Engn, University Pk, PA 16802 USA.;Zuo, WD (corresponding author), Natl Renewable Energy Lab NREL, Golden, CO 80401 USA.</t>
  </si>
  <si>
    <t>Wangda.zuo@psu.edu</t>
  </si>
  <si>
    <t>10.1007/s12273-025-1298-7</t>
  </si>
  <si>
    <t>WOS:001552186800001</t>
  </si>
  <si>
    <t>Li, ZQ; Yin, YG; Wang, F; Ma, SC</t>
  </si>
  <si>
    <t>Li, Zhenquan; Yin, Yonggao; Wang, Feng; Ma, Sicong</t>
  </si>
  <si>
    <t>Evaluation of air impact on urban radiative transfer and building loads using discrete ordinate method</t>
  </si>
  <si>
    <t>building simulation; radiation; discrete ordinate method; urban geometry; air impact</t>
  </si>
  <si>
    <t>HEAT-TRANSFER PROBLEMS; FINITE-VOLUME METHOD; MODEL; SIMULATIONS; STRATEGIES; EQUATION; SCHEMES; GASES</t>
  </si>
  <si>
    <t>This paper presents a novel approach for evaluating the air impact on urban microclimate and building loads. Traditional software tools, such as TRNSYS and EnergyPlus, often employ the surface-to-surface method for radiation transfer calculations, which neglects the influence of air. To address this limitation, this work integrates the discrete ordinates method (DOM) with the spectral-line weighted-sum-of-gray-gases (SLW) air model to develop a microclimate energy approach. The SLW model uses outdoor temperature and humidity data to compute absorption coefficients, leveraging the air spectrum provided by the HITRAN database. The DOM is then employed to calculate both solar and infrared radiation transfers within the urban environment. A transient simulation is conducted over one year for an urban scene in Suzhou, China. The results indicate that the air impact on radiation transfer increases with rising outdoor temperature and humidity. Overall, the results demonstrate that air effects exert a non-negligible influence on building heating and cooling load calculations, with an impact magnitude comparable to the introduction of an auxiliary thermal source. This study highlights the significance of considering air properties in urban microclimate and building energy simulations for more accurate results.</t>
  </si>
  <si>
    <t>[Li, Zhenquan; Yin, Yonggao] Southeast Univ, Sch Energy &amp; Environm, Nanjing 210096, Peoples R China; [Li, Zhenquan; Wang, Feng; Ma, Sicong] Suzhou Inst Bldg Sci Grp, Suzhou 215104, Peoples R China</t>
  </si>
  <si>
    <t>Yin, YG (corresponding author), Southeast Univ, Sch Energy &amp; Environm, Nanjing 210096, Peoples R China.</t>
  </si>
  <si>
    <t>y.yin@seu.edu.cn</t>
  </si>
  <si>
    <t>10.1007/s12273-025-1296-9</t>
  </si>
  <si>
    <t>WOS:001546827800001</t>
  </si>
  <si>
    <t>Dai, XL; Chen, RT; Guan, SZ; Li, WT; Yuen, C</t>
  </si>
  <si>
    <t>Dai, Xilei; Chen, Ruotian; Guan, Songze; Li, Wen-Tai; Yuen, Chau</t>
  </si>
  <si>
    <t>BuildingGym: An open-source toolbox for AI-based building energy management using reinforcement learning</t>
  </si>
  <si>
    <t>BuildingGym; reinforcement learning; smart building; demand response control; flexible building control; building energy management</t>
  </si>
  <si>
    <t>SYSTEMS</t>
  </si>
  <si>
    <t>Reinforcement learning (RL) has proven effective for AI-based building energy management. However, there is a lack of flexible framework to implement RL across various control problems in building energy management. To address this gap, we propose BuildingGym, an open-source tool designed as a research-friendly and flexible framework for training RL control strategies for common challenges in building energy management. BuildingGym integrates EnergyPlus as its core simulator, making it suitable for both system-level and room-level control. Additionally, BuildingGym is able to accept external signals as control inputs instead of taking the building as a stand-alone entity. This feature makes BuildingGym applicable for more flexible environments, e.g. smart grid and EVs community. The tool provides several built-in RL algorithms for control strategy training, simplifying the process for building managers to obtain optimal control strategies. Users can achieve this by following a few straightforward steps to configure BuildingGym for optimization control for common problems in the building energy management field. Moreover, AI specialists can easily implement and test state-of-the-art control algorithms within the platform. BuildingGym bridges the gap between building managers and AI specialists by allowing for the easy configuration and replacement of RL algorithms, simulators, and control environments or problems. With BuildingGym, we efficiently set up training tasks for cooling load management, targeting both constant and dynamic cooling load management. The built-in algorithms demonstrated strong performance across both tasks, highlighting the effectiveness of BuildingGym in optimizing cooling strategies.</t>
  </si>
  <si>
    <t>[Dai, Xilei; Chen, Ruotian; Guan, Songze; Li, Wen-Tai; Yuen, Chau] Nanyang Technol Univ, Sch Elect &amp; Elect Engn, 50 Nanyang Ave, Singapore 639798, Singapore; [Dai, Xilei] Chongqing Univ, Sch Architecture &amp; Urban Planning, Chongqing 400045, Peoples R China</t>
  </si>
  <si>
    <t>Nanyang Technological University; Chongqing University</t>
  </si>
  <si>
    <t>Dai, XL; Yuen, C (corresponding author), Nanyang Technol Univ, Sch Elect &amp; Elect Engn, 50 Nanyang Ave, Singapore 639798, Singapore.;Dai, XL (corresponding author), Chongqing Univ, Sch Architecture &amp; Urban Planning, Chongqing 400045, Peoples R China.</t>
  </si>
  <si>
    <t>xilei.dai@ntu.edu.sg; chau.yuen@ntu.edu.sg</t>
  </si>
  <si>
    <t>10.1007/s12273-025-1306-y</t>
  </si>
  <si>
    <t>WOS:001541704100001</t>
  </si>
  <si>
    <t>Li, GN; Kuang, W; Li, W; Yoon, S; Li, K; Wang, DY; Dai, CM</t>
  </si>
  <si>
    <t>Li, Guannan; Kuang, Wei; Li, Wei; Yoon, Sungmin; Li, Kun; Wang, Dongyue; Dai, Chuanmin</t>
  </si>
  <si>
    <t>An improved sensor fault in-situ calibration strategy for building HVAC systems with forgetting-adaptive mechanism based on data incremental learning</t>
  </si>
  <si>
    <t>HVAC; in-situ sensor calibration; Bayesian inference (BI); forgetting mechanism; data incremental learning (DIL)</t>
  </si>
  <si>
    <t>HIDDEN FACTORS; SIMULATION; INFORMATION; FRAMEWORK; INFERENCE</t>
  </si>
  <si>
    <t>Sensor faults, which are primarily caused by environmental changes, calibration deficiencies, and component aging, critically compromise energy efficiency and operational reliability for building heating, ventilation and air-conditioning (HVAC) systems. Although conventional data-driven sensor fault calibration methods showed theoretical precision with low variable dependency, their practical implementation still faces challenges: difficulties in maintaining high accuracy and stability during model updates and HVAC system operation varies, insufficient data quantity and quality for effective modeling. To address these challenges, this study proposed a forgetting-adaptive (FA) mechanism based on data incremental learning (DIL), and develops a data selection method by autoencoder (AE) reconstruction to enhance Bayesian inference (BI) calibration models. FA selectively forgets and discards low-contribution data samples via AE reconstruction distance analysis while adaptively integrating high-contribution newly incremental data. Validations were conducted on two case studies: an EnergyPlus-Python simulated Chiller-AHU system and a practical water-cooled chiller system. It was revealed that FA reduced sensor calibration mean absolute error by 20.21% on average compared to the traditional MLR-BI. The impacts of modeling data volume on calibration performance were also explored, FA can maintain calibration accuracy with relatively limited data volumes. Also, this study tried to interpret the FA mechanism in BI model improvement by assessing the modeling data quality using the AE based reconstruction distances and adaptively selecting the high-contribution data via the AEThreshold.</t>
  </si>
  <si>
    <t>[Li, Guannan; Kuang, Wei] Wuhan Univ Sci &amp; Technol, Sch Urban Construct, Wuhan 430065, Peoples R China; [Li, Wei; Li, Kun] Qingdao Haier Air Conditioner Gen Corp LTD, Qingdao 266101, Peoples R China; [Yoon, Sungmin] Sungkyunkwan Univ, Dept Global Smart City, Suwon 16419, South Korea; [Yoon, Sungmin] Sungkyunkwan Univ, Sch Civil Architectural Engn &amp; Landscape Architect, Suwon 16419, South Korea; [Wang, Dongyue; Dai, Chuanmin] Qingdao Haier Smart Technol R&amp;D CO LTD, Qingdao 266101, Peoples R China</t>
  </si>
  <si>
    <t>Wuhan University of Science &amp; Technology; Sungkyunkwan University (SKKU); Sungkyunkwan University (SKKU)</t>
  </si>
  <si>
    <t>Yoon, S (corresponding author), Sungkyunkwan Univ, Dept Global Smart City, Suwon 16419, South Korea.;Yoon, S (corresponding author), Sungkyunkwan Univ, Sch Civil Architectural Engn &amp; Landscape Architect, Suwon 16419, South Korea.</t>
  </si>
  <si>
    <t>S.Yoon@skku.edu</t>
  </si>
  <si>
    <t>10.1007/s12273-025-1327-6</t>
  </si>
  <si>
    <t>WOS:001541708400001</t>
  </si>
  <si>
    <t>Wang, MP; Zhang, SX; Shao, J; Wen, Q; Hong, JK; Tao, XY</t>
  </si>
  <si>
    <t>Wang, Meiping; Zhang, Shouxin; Shao, Jin; Wen, Quan; Hong, Jingke; Tao, Xiangyang</t>
  </si>
  <si>
    <t>Spatiotemporal evolution and regional heterogeneity of carbon emissions in municipal-level building sector in China</t>
  </si>
  <si>
    <t>carbon emissions in the building sector; municipal-level; machine learning; spatiotemporal evolution; regional characteristics; heterogeneity of influencing factors</t>
  </si>
  <si>
    <t>CO2 EMISSIONS; SCENARIOS</t>
  </si>
  <si>
    <t>Given the significance of cities as key execution units in carbon reduction initiatives, their role is crucial for the building sector and for China to achieve its carbon peak and carbon neutrality goals. Based on historical data on carbon emissions in the municipal-level building sector, this study employs spatiotemporal analysis models-such as Moran's Index, kernel density estimation, and center of gravity migration analysis-to capture the spatial heterogeneity and dynamic evolution of carbon emissions from 2015 to 2020. By integrating an extended Kaya identity with the k-means clustering algorithm and embedding a machine learning algorithm with optimal test performance, the study identifies the heterogeneity in development types and influencing factors among different cities. The results indicate that carbon emissions in the municipal-level building sector across Chinese cities increasingly concentrate on higher emission ranges. North China serves as the high-value center for carbon emissions, whereas Southwest China is the low-value center. Analysis of center of gravity migration trajectories reveals that factors such as energy consumption per unit of GDP significantly drive the growth of carbon emissions in the building sector, while the general public budget expenditure intensity exerts an inhibitory effect. Additionally, Chinese cities are classified into five distinct development types. Compared to traditional nonlinear models and other machine learning models, XGBoost achieves the best predictive performance for carbon emissions across of buildings different city types, with R2 values of 0.998, 0.992, 0.983, 0.995, and 0.986. These findings underscore the need to develop differentiated carbon reduction strategies that align with the unique development characteristics and influencing factors of each city type.</t>
  </si>
  <si>
    <t>[Wang, Meiping; Shao, Jin; Hong, Jingke; Tao, Xiangyang] Chongqing Univ, Sch Management Sci &amp; Real Estate, Chongqing 400045, Peoples R China; [Zhang, Shouxin] Southeast Univ, Sch Civil Engn, Nanjing 211189, Jiangsu, Peoples R China; [Wen, Quan] Tsinghua Univ, Dept Earth Syst Sci, Beijing 100084, Peoples R China</t>
  </si>
  <si>
    <t>Chongqing University; Southeast University - China; Tsinghua University</t>
  </si>
  <si>
    <t>Wen, Q (corresponding author), Tsinghua Univ, Dept Earth Syst Sci, Beijing 100084, Peoples R China.</t>
  </si>
  <si>
    <t>wenquan@tsinghua.edu.cn</t>
  </si>
  <si>
    <t>10.1007/s12273-025-1287-x</t>
  </si>
  <si>
    <t>WOS:001541702900001</t>
  </si>
  <si>
    <t>Xiang, JM; Liu, HC; Li, XJ</t>
  </si>
  <si>
    <t>Xiang, Junmi; Liu, Hongcheng; Li, Xiaojun</t>
  </si>
  <si>
    <t>The introduction of a probabilistic behavior model to minimize performance gap and improve affordability of ultra low energy housing</t>
  </si>
  <si>
    <t>probabilistic behavior model; technical index system; ultra-low energy housing</t>
  </si>
  <si>
    <t>OCCUPANT BEHAVIOR; BUILDINGS</t>
  </si>
  <si>
    <t>The occupant behavior is a primary factor contributing to the gap between the designed and actual building energy performance. The current design concepts and methods of ultra-low energy housing (ULEH) in hot summer and cold winter climate zones of China (HSCW) still follow the continuous energy use pattern, rather than the actual part space, part-time environmental control behavior adopted by residents in the region. This leads to large discrepancies between the actual and expected performance, coupled with the issue of high incremental costs due to the employment of high technologies, resulting in the slow promotion of ULEH in the region. This research selects Changsha, a typical city in the region, to establish a numerical model of the actual occupant behavior. Based on the model, an improved orthogonal experimental method is employed to examine the impact from energy-saving technologies on building energy and economic performances, so as to identify the key variables. The schemes achieving ULEH are then obtained through parametric analysis. Finally, the technical index system of ultra-low energy housing is reconstructed based on a comprehensive analysis of the schemes. It is found the global cost increment (GCI) of the schemes is 169 yuan/m2 cheaper than that of the reference building, and 202-794 yuan/m2 cheaper compared with the current standard of ULEH. This study contributes to minimize the performance gap and improve the affordability of ultra-low energy housing, so as to promote its replication in the region.</t>
  </si>
  <si>
    <t>[Xiang, Junmi; Liu, Hongcheng; Li, Xiaojun] Hunan Univ, Sch Architecture &amp; Planning, Changsha 410082, Peoples R China; [Xiang, Junmi] Hunan Engn Univ, Sch Smart Construct &amp; Energy Engn, Xiangtan 411100, Peoples R China; [Xiang, Junmi; Liu, Hongcheng; Li, Xiaojun] Hunan Univ, Hunan Key Lab Sci Urban &amp; Rural Human Settlements, Changsha 410082, Peoples R China</t>
  </si>
  <si>
    <t>Li, XJ (corresponding author), Hunan Univ, Sch Architecture &amp; Planning, Changsha 410082, Peoples R China.;Li, XJ (corresponding author), Hunan Univ, Hunan Key Lab Sci Urban &amp; Rural Human Settlements, Changsha 410082, Peoples R China.</t>
  </si>
  <si>
    <t>junglix@hnu.edu.cn</t>
  </si>
  <si>
    <t>10.1007/s12273-025-1273-3</t>
  </si>
  <si>
    <t>JUL 2025</t>
  </si>
  <si>
    <t>WOS:001539865700001</t>
  </si>
  <si>
    <t>Yang, HY; Sun, LX; Huang, XQ; Guimaraes, AS; Feng, C</t>
  </si>
  <si>
    <t>Yang, Hanyu; Sun, Lixin; Huang, Xianqi; Guimaraes, Ana Sofia; Feng, Chi</t>
  </si>
  <si>
    <t>Interstitial condensation analysis and moisture control for office building walls in China</t>
  </si>
  <si>
    <t>office building; thermal insulation composite system; interstitial condensation; vapor barrier</t>
  </si>
  <si>
    <t>THERMAL-CONDUCTIVITY; HYGRIC PROPERTIES; TEMPERATURE; HEAT; HUMIDITY; SIMULATION; GROWTH; IMPACT; RISK; AIR</t>
  </si>
  <si>
    <t>Accurate analysis of interstitial condensation for walls could influence the energy efficiency and durability of buildings. The Chinese standard adopts the classic 1-D steady-state vapor diffusion model to assess the risk of interstitial condensation in the heating period in severe cold and cold regions, where the indoor and outdoor boundary conditions could be approximated as a steady state. However, its applicability is subject to doubt in other scenarios where indoor and outdoor boundary conditions are highly dynamic. The transient hygrothermal model subsequently provides more accurate results but is also more complicated. This paper aims to investigate the advisable interstitial condensation calculation method for office buildings in various climate zones in China. The hygrothermal properties of four typical building materials were tested first. Next, the steady-state and transient calculation methods were compared. Finally the optimized vapor diffusion resistance factors of vapor barriers were proposed. Results show that the constant and variable material properties have a negligible effect on interstitial condensation analysis, with a maximum difference of 2.5% in relative humidity (RH). However, the steady-state and transient calculations have discrepant results, with the maximum difference in RH exceeding 10%. Wind-driven rain also plays an important role, with the maximum difference in RH exceeding 15%. Besides, the EPS internal thermal insulation composite system (ITICS) and rock wool external thermal insulation composite system (ETICS) require an additional vapor barrier in Shanghai and Guangzhou. Since the reduction of building's sensible and latent heat consumption caused by the vapor barrier is limited, the vapor permeability resistance of the vapor barrier only needs to consider moisture control.</t>
  </si>
  <si>
    <t>[Yang, Hanyu; Sun, Lixin] China Acad Bldg Res, State Key Lab Bldg Safety &amp; Built Environm, Beijing 100013, Peoples R China; [Huang, Xianqi; Feng, Chi] Chongqing Univ, Sch Architecture &amp; Urban Planning, Chongqing 400045, Peoples R China; [Huang, Xianqi; Feng, Chi] Chongqing Univ, Minist Educ, Key Lab New Technol Construct Cities Mt Area, Chongqing 400045, Peoples R China; [Huang, Xianqi; Feng, Chi] Chongqing Univ, Sichuan Chongqing Joint Lab Adv Ecomat Safety &amp; En, Chongqing 400045, Peoples R China; [Guimaraes, Ana Sofia] Univ Porto, Fac Engn, CONSTRUCT LFC, P-4200465 Porto, Portugal</t>
  </si>
  <si>
    <t>Chongqing University; Chongqing University; Chongqing University; Universidade do Porto</t>
  </si>
  <si>
    <t>Feng, C (corresponding author), Chongqing Univ, Sch Architecture &amp; Urban Planning, Chongqing 400045, Peoples R China.;Feng, C (corresponding author), Chongqing Univ, Minist Educ, Key Lab New Technol Construct Cities Mt Area, Chongqing 400045, Peoples R China.;Feng, C (corresponding author), Chongqing Univ, Sichuan Chongqing Joint Lab Adv Ecomat Safety &amp; En, Chongqing 400045, Peoples R China.</t>
  </si>
  <si>
    <t>10.1007/s12273-025-1307-x</t>
  </si>
  <si>
    <t>WOS:001537742600001</t>
  </si>
  <si>
    <t>Aghaei, A; Pedrielli, G; Wu, T; O'Neill, Z; Becerik-Gerber, B; Hoque, S; Wen, J</t>
  </si>
  <si>
    <t>Aghaei, Asra; Pedrielli, Giulia; Wu, Teresa; O'Neill, Zheng; Becerik-Gerber, Burcin; Hoque, Simi; Wen, Jin</t>
  </si>
  <si>
    <t>Understanding the role of artificial intelligence in improving human well-being within the built environment</t>
  </si>
  <si>
    <t>artificial intelligence; well-being; built environment; occupants</t>
  </si>
  <si>
    <t>GENERATIVE ADVERSARIAL NETWORKS; BUILDING OCCUPANCY; DIGITAL TWIN; DATA FUSION; MODEL; PERFORMANCE; IOT; INTEGRATION; SIMULATION; CHALLENGES</t>
  </si>
  <si>
    <t>The indoor environment has become the primary habitat. According to the U.S. Environmental Protection Agency, the average American spends 93% of their life indoors, with 87% spent inside buildings and 6% in automobiles. There is a pressing need to design and renovate the built environment to better serve human occupants. This requires a multidisciplinary approach, and, in recent years, due to the advances in devices, computational speed achievable on small surface chips, and Internet of Things (IoT) platforms, artificial intelligence (AI) has come to play a crucial role in making effective use of these technologies by enhancing the modeling and control of buildings in a way that shifts the focus from the building to the occupant. The goal of this paper is to explore state-of-the-art AI research in the domain of healthy buildings. We do so by formulating seven questions focusing on three themes. First, we explore how new data sources and data platforms have enabled AI to be adopted for the paradigm of healthy buildings, including the use of IoT technologies and the associated opportunities and challenges arising from a wide range of data sources. Second, we investigate AI-informed approaches for healthy building design and control, encompassing physical building models as well as human behavioral models representing occupants. Finally, we reflect on the building certification process, and examine examples from academic research labs and real-world constructions to understand the current state and existing use cases. The study establishes a foundation to understand the role of AI in healthy buildings and it provides insights for future research directions.</t>
  </si>
  <si>
    <t>[Aghaei, Asra; Pedrielli, Giulia; Wu, Teresa] Arizona State Univ, Sch Comp &amp; Augmented Intelligence, Tempe, AZ 85281 USA; [Aghaei, Asra; Pedrielli, Giulia; Wu, Teresa] Arizona State Univ, ASU Mayo Ctr Innovat Imaging, Tempe, AZ 85281 USA; [O'Neill, Zheng] Texas A&amp;M Univ, J Mike Walker Dept Mech Engn 66, College Stn, TX USA; [Becerik-Gerber, Burcin] Univ Southern Calif, Dept Civil &amp; Environm Engn, Los Angeles, CA USA; [Hoque, Simi; Wen, Jin] Drexel Univ, Dept Civil Environm &amp; Architectural Engn, Philadelphia, PA USA</t>
  </si>
  <si>
    <t>Arizona State University; Arizona State University-Tempe; Arizona State University; Arizona State University-Tempe; Texas A&amp;M University System; Texas A&amp;M University College Station; University of Southern California; Drexel University</t>
  </si>
  <si>
    <t>Pedrielli, G (corresponding author), Arizona State Univ, Sch Comp &amp; Augmented Intelligence, Tempe, AZ 85281 USA.;Pedrielli, G (corresponding author), Arizona State Univ, ASU Mayo Ctr Innovat Imaging, Tempe, AZ 85281 USA.</t>
  </si>
  <si>
    <t>gpedriel@asu.edu</t>
  </si>
  <si>
    <t>10.1007/s12273-025-1278-y</t>
  </si>
  <si>
    <t>WOS:001536012200001</t>
  </si>
  <si>
    <t>Zhang, HB; Thilker, CA; Xiao, F; Madsen, H; Li, RL; Ma, TY; Xu, K</t>
  </si>
  <si>
    <t>Zhang, Hanbei; Thilker, Christian Ankerstjerne; Xiao, Fu; Madsen, Henrik; Li, Rongling; Ma, Tianyou; Xu, Kan</t>
  </si>
  <si>
    <t>Stochastic occupancy-integrated MPC for multi-objective optimal built environment control</t>
  </si>
  <si>
    <t>model predictive control; multi-objective optimization; stochastic occupancy prediction; inhomogeneous Markov chains; built environment control; TRNSYS simulation</t>
  </si>
  <si>
    <t>MODEL-PREDICTIVE CONTROL; CONTROL STRATEGY; HEAT DYNAMICS; SYSTEMS</t>
  </si>
  <si>
    <t>Efficient built environment control is essential for balancing energy consumption, thermal comfort, and indoor air quality (IAQ), especially in spaces with highly dynamic and intermittent occupancy patterns. Traditional control strategies, such as fixed schedules or simple occupancy-based rules, often fail to address the stochastic nature of occupancy behaviors, leading to suboptimal performance. This study proposes a stochastic occupancy-integrated model predictive control (MPC) strategy that advances built environment optimization through several innovative contributions. First, the proposed MPC integrates stochastic occupancy number predictions into its control scheme, enabling multi-objective optimization considering thermal comfort and IAQ for spaces with sudden occupancy changes and irregular usage. Second, the stochastic differential equations (SDE)-based building dynamic models are developed considering the stochasticity and time-inhomogeneity of occupancy heat gains and CO2 generations in the prediction of indoor temperature, CO2 concentration and energy consumption. Third, a TRNSYS-Python co-simulation platform is established to evaluate the MPC strategy's performance, addressing the discrepancies between the SDE models used for MPC and the actual process of the target system. Finally, the study comprehensively evaluates the MPC's multi-dimensional performance under different optimization weight combinations and benchmarks it against two baseline strategies: a fixed-schedule (FIX) strategy and occupancy-based control (OBC) strategies with varying per-person fresh airflow rates. Simulation results demonstrate that the proposed MPC achieves 32% energy savings and 17% IAQ improvement compared to the FIX strategy, and 30% thermal comfort improvement and 20% IAQ improvement with the same energy consumption compared to OBC. These findings highlight the robustness and enhanced performance of the proposed MPC in addressing the complexities of stochastic and time-varying occupancy, offering a state-of-the-art solution for energy-efficient and occupant-centric built environment control.</t>
  </si>
  <si>
    <t>[Zhang, Hanbei; Xiao, Fu; Ma, Tianyou; Xu, Kan] Hong Kong Polytech Univ, Dept Bldg Environm &amp; Energy Engn, Kowloon, Hong Kong, Peoples R China; [Zhang, Hanbei; Thilker, Christian Ankerstjerne; Madsen, Henrik] Tech Univ Denmark, Dept Appl Math &amp; Comp Sci, Lyngby, Denmark; [Zhang, Hanbei; Li, Rongling] Tech Univ Denmark, Dept Civil &amp; Mech Engn, Lyngby, Denmark; [Xiao, Fu] Hong Kong Polytech Univ, Res Inst Smart Energy, Kowloon, Hong Kong, Peoples R China</t>
  </si>
  <si>
    <t>Hong Kong Polytechnic University; Technical University of Denmark; Technical University of Denmark; Hong Kong Polytechnic University</t>
  </si>
  <si>
    <t>Xiao, F (corresponding author), Hong Kong Polytech Univ, Dept Bldg Environm &amp; Energy Engn, Kowloon, Hong Kong, Peoples R China.;Madsen, H (corresponding author), Tech Univ Denmark, Dept Appl Math &amp; Comp Sci, Lyngby, Denmark.;Xiao, F (corresponding author), Hong Kong Polytech Univ, Res Inst Smart Energy, Kowloon, Hong Kong, Peoples R China.</t>
  </si>
  <si>
    <t>linda.xiao@polyu.edu.hk; hmad.dtu@gmail.com</t>
  </si>
  <si>
    <t>10.1007/s12273-025-1300-4</t>
  </si>
  <si>
    <t>WOS:001536027100001</t>
  </si>
  <si>
    <t>Ye, W; Wei, Y; Guo, WC; He, L; Zhu, XJ; Zhu, Z; Gao, J</t>
  </si>
  <si>
    <t>Ye, Wei; Wei, Yuan; Guo, Weichen; He, Ling; Zhu, Xuejin; Zhu, Zhe; Gao, Jun</t>
  </si>
  <si>
    <t>Practical methods for constant temperature control in tunnel-shaped scientific facilities: Uniform vs. pressure-driven air supply with insights from SHINE</t>
  </si>
  <si>
    <t>tunnel; constant temperature; air supply; temperature fluctuation; CFD</t>
  </si>
  <si>
    <t>Maintaining constant temperature is critical in large-scale scientific facilities, such as circular or linear tunnel-shaped facilities (TSFs) used for high-energy physics experiments (e.g., particle acceleration or collision). Traditional ventilation designs with vertical unidirectional airflow and uniform air supply rates are better suited for regular rooms and are less practical for TSFs. After evaluating four typical tunnel ventilation schemes, this study proposed achieving effective constant temperature control in TSFs using the most feasible approach, i.e., supply-air-based semi-transverse ventilation. First, two simplified analytical models were developed to determine the steady-state longitudinal temperature profile and the response time to temperature fluctuations. Two air supply distribution approaches, i.e., uniform and pressure-driven, can be incorporated. The latter was developed based on fluid dynamics. Second, a 400-meter-long TSF from a Shanghai-based scientific facility (SHINE) served as the case study. Fluctuation sources and their ways of causing various temperature fluctuations were analyzed, including air handling units (e.g., supply air temperature or flow rates), cables, and scientific instruments. Third, the performance of uniform and pressure-driven air supply distributions was compared in overcoming single and coupled fluctuation sources. The thresholds for each source were summarized for SHINE. Results indicated that while uniform air supply reduces longitudinal temperature difference and mitigates double-source fluctuations better, pressure-driven distribution is more effective against single sources. Finally, the theoretical methods were compared and agreed with steady-state and transient CFD simulations. This study provides a rapid and practical method for designing ventilation schemes to achieve constant temperature in TSFs and minimize reliance on CFD.</t>
  </si>
  <si>
    <t>[Ye, Wei; Wei, Yuan; Guo, Weichen; He, Ling; Gao, Jun] Tongji Univ, Sch Mech Engn, Shanghai 201804, Peoples R China; [Ye, Wei] Tongji Univ, Key Lab Performance Evolut &amp; Control Engn Struct, Minist Educ, Shanghai 200092, Peoples R China; [Zhu, Xuejin; Zhu, Zhe] Shanghai Architectural Design &amp; Res Co Ltd, Arcplus Inst, Shanghai 200041, Peoples R China</t>
  </si>
  <si>
    <t>Tongji University; Tongji University</t>
  </si>
  <si>
    <t>Ye, W (corresponding author), Tongji Univ, Sch Mech Engn, Shanghai 201804, Peoples R China.;Ye, W (corresponding author), Tongji Univ, Key Lab Performance Evolut &amp; Control Engn Struct, Minist Educ, Shanghai 200092, Peoples R China.</t>
  </si>
  <si>
    <t>10.1007/s12273-025-1318-7</t>
  </si>
  <si>
    <t>WOS:001531089200001</t>
  </si>
  <si>
    <t>Chung, JH; Hong, TZ; Malik, J; Shelden, D</t>
  </si>
  <si>
    <t>Chung, Jihoon; Hong, Tianzhen; Malik, Jeetika; Shelden, Dennis</t>
  </si>
  <si>
    <t>Enhancing occupant behavior representation for interoperability between building information modeling and building energy modeling</t>
  </si>
  <si>
    <t>occupant behavior; obXML; occupant behavior modeling; building information modeling; gbXML</t>
  </si>
  <si>
    <t>WINDOW OPENING BEHAVIORS; THERMAL COMFORT; BIM; SIMULATION; PERFORMANCE; OPERATION; ONTOLOGY; METHODOLOGIES; TECHNOLOGIES; FRAMEWORK</t>
  </si>
  <si>
    <t>Building Performance Simulation (BPS) has been adopted as an essential tool for designing, operating, and retrofitting buildings to optimize energy efficiency throughout the building life cycle. The Green Building XML (gbXML) schema facilitates seamless data exchange between Building Information Modeling (BIM) and Building Energy Modeling (BEM) software tools. However, limited occupant behavior (OB) representation in BIM often leads to inconsistent and inaccurate energy simulation in BEM software. This paper presents 154 systematic enhancements to the existing occupant behavior XML (obXML) schema v1.3.4, initially developed for standardizing OB representation for BEM, to address existing limitations and improve interoperability with BIM models. The enhancements encompass improved integration with BIM models through extended building representations and system operations, expanded support for advanced OB models with additional environmental parameters and mathematical capabilities, and implementation of a standardized model documentation framework. To facilitate seamless data transformation between gbXML and obXML schemas, we developed a publicly available gb-obXML Schema Converter. Three case studies demonstrate the enhanced schema's capabilities: representation of building information using a two-story office building model, documentation of a window operation behavior model, and validation of the schema converter's functionality. The enhanced obXML schema v1.4 enables sophisticated modeling of occupant-building interactions while maintaining consistency with industry-standard BIM schemas. The standardized documentation framework facilitates reproducibility and knowledge sharing in the OB research community, while the schema converter automates the integration of building information into OB simulation workflows. These enhancements establish a foundation for more accurate building performance simulation by supporting sophisticated representation of occupant behavior within the BIM-to-BEM simulation workflows.</t>
  </si>
  <si>
    <t>[Chung, Jihoon; Shelden, Dennis] Rensselaer Polytech Inst, Sch Architecture, 110 8th St, Troy, NY 12180 USA; [Hong, Tianzhen; Malik, Jeetika] Lawrence Berkeley Natl Lab, Bldg Technol &amp; Urban Syst Div, Berlekey, CA 94720 USA</t>
  </si>
  <si>
    <t>Rensselaer Polytechnic Institute; United States Department of Energy (DOE); Lawrence Berkeley National Laboratory</t>
  </si>
  <si>
    <t>Chung, JH (corresponding author), Rensselaer Polytech Inst, Sch Architecture, 110 8th St, Troy, NY 12180 USA.</t>
  </si>
  <si>
    <t>jihoonchung.research@gmail.com</t>
  </si>
  <si>
    <t>10.1007/s12273-025-1313-z</t>
  </si>
  <si>
    <t>WOS:001530445200001</t>
  </si>
  <si>
    <t>Han, DJ; Zhao, B</t>
  </si>
  <si>
    <t>Han, Dongjia; Zhao, Bin</t>
  </si>
  <si>
    <t>Air exchange rate for global residences: A random forest modelling study</t>
  </si>
  <si>
    <t>air exchange; air infiltration; residences; random forest; modelling</t>
  </si>
  <si>
    <t>ULTRAFINE PARTICLES; INDOOR; INFILTRATION; QUALITY; PM2.5; FINE</t>
  </si>
  <si>
    <t>In the context of climate change, there is growing concern about the energy efficiency and indoor air pollution of residential buildings. The air exchange between indoors and outdoors for residential buildings plays a critical role in energy efficiency and indoor air quality, with the air exchange rate (AER) and air infiltration rate (AIR) being key parameters. However, existing research on residential AER and AIR is predominantly restricted to a few regions, and there is a significant lack of comprehensive global-scale analysis or predictive models for residential AER or AIR. This gap in data poses challenges in the estimation of energy consumption and indoor air quality globally. To address this issue, we conducted a comprehensive literature review to compile existing AER and AIR data worldwide. Recognizing the limitations in available data, we developed a Random Forest (RF) model, integrating key factors that influence AER and AIR, such as geographical location, climate parameters, building characteristics, and social development level, to analyze the collected data and estimate AER and AIR values across different regions and seasons globally. With the developed RF model, we generated the global seasonal AER and AIR data at a sub-national scale, addressed a critical data gap, and further provided a foundational dataset for global estimations or predictions of energy consumption and indoor air quality research in residential buildings.</t>
  </si>
  <si>
    <t>[Han, Dongjia; Zhao, Bin] Tsinghua Univ, Sch Architecture, Dept Bldg Sci, Beijing 100084, Peoples R China; [Zhao, Bin] Tsinghua Univ, Beijing Key Lab Indoor Air Qual Evaluat &amp; Control, Beijing 100084, Peoples R China</t>
  </si>
  <si>
    <t>10.1007/s12273-025-1317-8</t>
  </si>
  <si>
    <t>WOS:001530187500001</t>
  </si>
  <si>
    <t>Liu, X; Gou, ZH</t>
  </si>
  <si>
    <t>Liu, Xin; Gou, Zhonghua</t>
  </si>
  <si>
    <t>Hybrid forecasting and optimization framework for residential photovoltaic-battery systems: Integrating data-driven prediction with multi-strategy scenario analysis</t>
  </si>
  <si>
    <t>photovoltaic-battery system; building energy management; reinforcement learning; grid interaction stability; energy self-sufficiency</t>
  </si>
  <si>
    <t>ENERGY-STORAGE SYSTEM; SELF-CONSUMPTION; PV; BUILDINGS; MANAGEMENT; CAPACITY</t>
  </si>
  <si>
    <t>With the advancement of energy transition, residential photovoltaic (PV) systems face intermittency challenges that impact grid stability. While battery integration enhances resilience, existing approaches exhibit critical gaps: (1) underdeveloped hybrid modeling frameworks balancing physical interpretability and data-driven accuracy; (2) reinforcement learning (RL) strategies prioritizing economic gains over grid stability, risking localized fluctuations; and (3) performance evaluations lacking systematic assessment across varying PV-battery capacities. To bridge these gaps, this study proposes a hybrid framework combining physical energy flow constraints with XGBoost-based machine learning for robust forecasting. Two optimization strategies, proximal policy optimization (PPO) and rule-based control (RBC), are developed for charge-discharge scheduling, explicitly incorporating grid stability metrics. Multi-scenario analysis evaluates performance under varying capacities and initial states of charge (SOC). Results demonstrate the hybrid model's superiority over physics-based benchmarks, significantly improving prediction accuracy, with R2 increasing from 0.70 to 0.95 for SOC and from 0.83 to 0.98 for grid power. Both PPO and RBC enhance efficiency and stability versus baseline: the energy self-sufficiency rate rises from 10.6% to 79.3% (PPO) and 82.4% (RBC), while grid power fluctuations decrease from 2.6 kWh to 1.66 kWh (PPO) and 1.38 kWh (RBC). Crucially, RBC achieves higher stability and interpretability near boundaries, whereas PPO excels in long-term optimization but exhibits boundary-condition sensitivity. Results further reveal that PV-battery capacity and initial SOC influence strategy performance. This study establishes a structured technical pathway encompassing hybrid forecasting model development, stability-oriented optimization design, and scenario-based performance evaluation, providing an integrated solution to enhance grid resilience and energy autonomy in residential PV-battery systems.</t>
  </si>
  <si>
    <t>[Liu, Xin; Gou, Zhonghua] Wuhan Univ, Sch Urban Design, Wuhan 430072, Peoples R China</t>
  </si>
  <si>
    <t>Gou, ZH (corresponding author), Wuhan Univ, Sch Urban Design, Wuhan 430072, Peoples R China.</t>
  </si>
  <si>
    <t>10.1007/s12273-025-1319-6</t>
  </si>
  <si>
    <t>WOS:001530202100001</t>
  </si>
  <si>
    <t>Ma, EC; Ding, LY; Wang, Y; Jiang, L; Zhang, Q</t>
  </si>
  <si>
    <t>Ma, Encheng; Ding, Lieyun; Wang, Yao; Jiang, Li; Zhang, Qun</t>
  </si>
  <si>
    <t>Construct of digital theater for cross-industry BIM data fusion: A scenario-driven ontology-based framework</t>
  </si>
  <si>
    <t>BIM; engineering data management framework; multi-source data integration; scenario-driven</t>
  </si>
  <si>
    <t>IFC SCHEMA EXTENSION; RELATIONAL DATABASE; INFORMATION; REPRESENTATION; INTEGRATION; EXCHANGE</t>
  </si>
  <si>
    <t>With extensive application of building information modeling (BIM), vast BIM model resources have accumulated from both new and existing projects. Digital twins, a key application of these models, face two main challenges: exponential growth in geometric and attribute data, risking data explosion, and low data utilization due to insufficient semantic association among multi-source data across projects and domains. This paper addresses the challenge of reducing system complexity via scenario-driven methods while achieving deep semantic integration of cross-domain BIM data. It proposes an ontology-based Digital Theater framework that defines data boundaries based on scenario requirements and employs dynamic trimming strategies to reduce complexity. By combining a simplified data standard with a multi-domain fusion ontology model, the framework constructs scenario-based data integration rules for semantic alignment. An adaptive relational database with object storage design further supports efficient engineering data storage and utilization. The proposed method significantly reduces the complexity of data processing, enabling the integrated application of multi-domain data at a lower cost while enhancing the decision-support capabilities of BIM data. This framework demonstrates potential for application in diverse scenarios, supporting engineering digitalization and smart city development.</t>
  </si>
  <si>
    <t>[Ma, Encheng; Ding, Lieyun] Huazhong Univ Sci &amp; Technol, Wuhan 430074, Peoples R China; [Ma, Encheng; Wang, Yao; Jiang, Li; Zhang, Qun] China Acad Bldg Res, Beijing 100029, Peoples R China</t>
  </si>
  <si>
    <t>Huazhong University of Science &amp; Technology</t>
  </si>
  <si>
    <t>Ding, LY (corresponding author), Huazhong Univ Sci &amp; Technol, Wuhan 430074, Peoples R China.;Jiang, L (corresponding author), China Acad Bldg Res, Beijing 100029, Peoples R China.</t>
  </si>
  <si>
    <t>dly@hust.edu.cn; jiangli@cabrtech.com</t>
  </si>
  <si>
    <t>10.1007/s12273-025-1315-x</t>
  </si>
  <si>
    <t>WOS:001528218100001</t>
  </si>
  <si>
    <t>Li, CY; Wan, W; Huang, GR; Chai, XK; Li, CM; Tang, HD</t>
  </si>
  <si>
    <t>Li, Chunying; Wan, Wei; Huang, Guanrong; Chai, Xingkang; Li, Cuimin; Tang, Haida</t>
  </si>
  <si>
    <t>Thermal and electrical performance assessment of a bifacial photovoltaic green facade based on CFD simulation</t>
  </si>
  <si>
    <t>photovoltaic green facade; CFD simulation; energy-efficient facade; solar energy utilization</t>
  </si>
  <si>
    <t>SYSTEM; ROOFS</t>
  </si>
  <si>
    <t>The bifacial photovoltaic green facade (BPVGF) system was introduced to maximize the energy and environmental advantages offered by photovoltaic buildings and vertical greening technologies, thereby contributing to the realization of the zero-carbon target in the construction sector. This system involves the vertical installation of bifacial photovoltaic panels on building facades, which are overlaid with climbing vegetation or modular plant systems. Solar radiation incident upon these facades is partially harnessed as electricity by the bifacial photovoltaic panels, while the remainder is absorbed by the plants, beneficial for summer thermal insulation. Meanwhile, the plants aid in cooling the photovoltaic materials through evapotranspiration, thereby enhancing the solar-to-electricity conversion efficiency. In this study, a computational fluid dynamics (CFD) model of the BPVGF was developed to evaluate its thermal performance. The findings indicate that the incorporation of vertical greening with varying parameters can significantly mitigate the temperatures of both the interior and exterior walls, as well as the bifacial PV panels. Specifically, with a greening thickness of 80 mm, the maximum temperature reductions for the interior and exterior wall surfaces, and the bifacial PV panels were recorded at 2.59 degrees C, 5.29 degrees C, and 4.72 degrees C, respectively. Moreover, the photovoltaic efficiency of the bifacial PV panels experienced an increase of 2.5%. This study highlights the dual potential of vertical greening in optimizing thermal environments and elevating PV conversion efficiency.</t>
  </si>
  <si>
    <t>[Li, Chunying; Wan, Wei; Huang, Guanrong; Chai, Xingkang; Tang, Haida] Shenzhen Univ, Sch Architecture &amp; Urban Planning, Shenzhen, Peoples R China; [Li, Chunying; Tang, Haida] Shenzhen Key Lab Architecture Hlth &amp; Well Being Pr, Shenzhen, Peoples R China; [Li, Chunying; Tang, Haida] State Key Lab Subtrop Bldg &amp; Urban Sci, Shenzhen, Peoples R China; [Li, Cuimin] Suzhou Univ Sci &amp; Technol, Sch Environm Sci &amp; Engn, Suzhou, Peoples R China</t>
  </si>
  <si>
    <t>Shenzhen University; Suzhou University of Science &amp; Technology</t>
  </si>
  <si>
    <t>Tang, HD (corresponding author), Shenzhen Univ, Sch Architecture &amp; Urban Planning, Shenzhen, Peoples R China.;Tang, HD (corresponding author), Shenzhen Key Lab Architecture Hlth &amp; Well Being Pr, Shenzhen, Peoples R China.;Tang, HD (corresponding author), State Key Lab Subtrop Bldg &amp; Urban Sci, Shenzhen, Peoples R China.</t>
  </si>
  <si>
    <t>tanghd@szu.edu.cn</t>
  </si>
  <si>
    <t>10.1007/s12273-025-1281-3</t>
  </si>
  <si>
    <t>WOS:001527835300001</t>
  </si>
  <si>
    <t>Wang, ZY; Liu, JJ; Li, D; Li, JH; Wang, C; Liu, C; Yang, B</t>
  </si>
  <si>
    <t>Wang, Zhiyuan; Liu, Junjin; Li, Dian; Li, Jianhui; Wang, Chao; Liu, Chang; Yang, Bo</t>
  </si>
  <si>
    <t>Thermo-fluid-structure interaction modeling and refined temperature field analysis of triple-glazed insulating glass units under solar radiation and inter-cavity gas convection</t>
  </si>
  <si>
    <t>triple-glazed insulating glass; solar radiation effects; thermo-fluid-structure interaction analysis; finite element modeling; temperature field</t>
  </si>
  <si>
    <t>WINDOW GLASS; PERFORMANCE; ENERGY; STRESS; PREDICTION; BUILDINGS; SYSTEMS</t>
  </si>
  <si>
    <t>Precise and rapid evaluation of the temperature field in tripled-glazed insulating glass units (TIGUs) under intense solar radiation is crucial for the thermal-resistant design of glass curtain wall systems (GCWSs) and assessments of building thermal environments. However, available empirical data, traditional Tsol-air method, and numerical simulations are inadequate in accurately calculating the thermal behavior of this emerging energy-efficient building material, particularly for the complex heating effects of direct and diffuse solar radiation and the thermal convection of cavity gas in multilayer glazing systems. This study presents a comprehensive thermal analysis of TIGUs using a refined thermo-fluid-structure interaction (TFSI) finite element (FE) model that accounts for heat conduction, convection (both external and within cavities), and radiative transfer. The improved model, implemented in ANSYS and incorporating D-O radiation, k-epsilon (RNG) viscous, and energy models, demonstrates superior agreement with experimental results and the WINDOW software (MAPE = 2.45%), which addresses key limitations of existing standards and the Tsol-air method. A parametric study based on meteorological data from ten representative cities was conducted, identifying the influence of outdoor temperature, direct radiation, and diffuse radiation on the TIGU temperature field, with their effects quantitatively characterized by sensitivity coefficients a, b, and C. The concept of peak region was introduced to intuitively describe the non-monotonic thermal behavior under strong solar radiation. For the widely used configuration (6+12Air+6+12Air+6 mm), fitted equations were derived using least squares and Lagrange interpolation methods, with R-2 &gt; 0.99, enabling efficient estimation of temperature distributions under long-term climatic conditions.</t>
  </si>
  <si>
    <t>[Wang, Zhiyuan; Liu, Junjin; Li, Dian; Li, Jianhui; Wang, Chao; Liu, Chang; Yang, Bo] China Acad Bldg Res, Beijing 100013, Peoples R China; [Wang, Zhiyuan] Tongji Univ, Dept Civil Engn, Shanghai 200092, Peoples R China; [Liu, Chang] State Key Lab Bldg Safety &amp; Built Environm, Beijing 100013, Peoples R China; [Li, Dian] Chang An Univ, Dept Civil Engn, Xian 710061, Peoples R China</t>
  </si>
  <si>
    <t>Tongji University; Chang'an University</t>
  </si>
  <si>
    <t>Wang, ZY; Liu, JJ (corresponding author), China Acad Bldg Res, Beijing 100013, Peoples R China.;Wang, ZY (corresponding author), Tongji Univ, Dept Civil Engn, Shanghai 200092, Peoples R China.</t>
  </si>
  <si>
    <t>2011127@tongji.edu.cn; liujunjin@cabrtech.com</t>
  </si>
  <si>
    <t>10.1007/s12273-025-1320-0</t>
  </si>
  <si>
    <t>WOS:001528310000001</t>
  </si>
  <si>
    <t>Tian, X; Yin, HG; Huo, YK; Shao, XL; Zhang, S; Chen, YY; Cai, CQ; Li, AG</t>
  </si>
  <si>
    <t>Tian, Xue; Yin, Haiguo; Huo, Yaokun; Shao, Xiaoliang; Zhang, Sheng; Chen, Yuyuan; Cai, Chongqing; Li, Angui</t>
  </si>
  <si>
    <t>Creating non-uniform thermal environment in large space buildings based on column attachment ventilation</t>
  </si>
  <si>
    <t>column attachment ventilation; non-uniform environment; partition control; orthogonal experimental; thermal comfort</t>
  </si>
  <si>
    <t>STRATUM VENTILATION; COMFORT; SIMULATION</t>
  </si>
  <si>
    <t>The traditional ventilation aims to create a uniform indoor environment, which neglects the diverse thermal requirements of different locations within large-space building, resulting in significant energy waste. This study proposes a method based on partition control using column attachment ventilation to create a non-uniform indoor environment under cooling conditions. The main factors influencing thermal environment differences among zones were identified through orthogonal experiments, and the effects of partition control on indoor convective heat transfer and thermal comfort were analyzed. A 1:4 scale model was used to conduct temperature field verification experiments. The results indicate that under the column attachment ventilation mode, partition control can create a non-uniform environment, enhancing indoor temperature non-uniformity by 3.67 times compared to uniform ventilation. The factors influencing zonal thermal environment differences are air supply temperature difference (Delta Ts) &gt; column shape &gt; air supply velocity difference (Delta Vs). When Delta Ts is 2 degrees C, the sub-zone average temperature difference reaches up to 1.3 degrees C. Additionally, the difference in the air supply temperature affects the distribution of convective heat transfer between zones. A dimensionless correlation for the Nusselt number in the enclosed large-space under square column attachment ventilation (S-CAV) was established with a 5.6% average absolute deviation. This study can enrich the research on non-uniform environment in large space buildings and promote its application in practical engineering.</t>
  </si>
  <si>
    <t>[Tian, Xue; Yin, Haiguo; Li, Angui] Xian Univ Architecture &amp; Technol, Sch Bldg Serv Sci &amp; Engn, Xian 710055, Peoples R China; [Yin, Haiguo; Li, Angui] Minist Educ China, Int Joint Lab Low Carbon Built Environm, Xian, Peoples R China; [Huo, Yaokun] Zhongye Changtian Int Engn Co Ltd, Changsha 410205, Peoples R China; [Shao, Xiaoliang] Univ Sci &amp; Technol Beijing, Sch Civil &amp; Resource Engn, Beijing 100083, Peoples R China; [Zhang, Sheng] Xi An Jiao Tong Univ, Sch Human Settlements &amp; Civil Engn, Xian, Peoples R China; [Chen, Yuyuan; Cai, Chongqing] China Railway Siyuan Survey &amp; Design Grp Co Ltd, Wuhan 430063, Peoples R China</t>
  </si>
  <si>
    <t>Xi'an University of Architecture &amp; Technology; University of Science &amp; Technology Beijing; Xi'an Jiaotong University</t>
  </si>
  <si>
    <t>Yin, HG (corresponding author), Xian Univ Architecture &amp; Technol, Sch Bldg Serv Sci &amp; Engn, Xian 710055, Peoples R China.;Yin, HG (corresponding author), Minist Educ China, Int Joint Lab Low Carbon Built Environm, Xian, Peoples R China.</t>
  </si>
  <si>
    <t>10.1007/s12273-025-1303-1</t>
  </si>
  <si>
    <t>WOS:001522997000001</t>
  </si>
  <si>
    <t>Shi, SM; Liu, YX; Deng, ZL; Ye, J; Wang, ZY; Yu, T; Song, Y; Mu, MH; Li, JG; Ding, Z; Xu, Y; Fang, JJ; Liu, C</t>
  </si>
  <si>
    <t>Shi, Siming; Liu, Yixin; Deng, Zilong; Ye, Jin; Wang, Zhiyuan; Yu, Tao; Song, Ying; Mu, Minhao; Li, Jingguang; Ding, Zhen; Xu, Ying; Fang, Jingjing; Liu, Cong</t>
  </si>
  <si>
    <t>In-situ sampling method to measure interface pollutants concentrations of volatile organic compounds from building materials</t>
  </si>
  <si>
    <t>pollutants concentration; building material; in-situ sampling; source sorting; human health</t>
  </si>
  <si>
    <t>INITIAL EMITTABLE CONCENTRATION; MASS-TRANSFER; FORMALDEHYDE; EMISSIONS; TEMPERATURE; DIFFUSION; HEADSPACE; MODEL; FIELD; VOCS</t>
  </si>
  <si>
    <t>Volatile organic compounds (VOCs) emitted by building materials pose severe health risk. It is critical to identify major pollution sources for consequent intervention. An in-situ sampling method is introduced in this study to determine solid-gas interface concentrations of building materials to help realize source apportionment with minimal disturbance and cost. The method is featured as an upended cylindrical chamber with two openings. A sampling flow rate lower than a critical value allows diffusion-controlled environment in the chamber and concentration equilibrium between building surfaces and the air. It is validated by tests under various sampling flow rates (difference of 2%-11%) and in an enclosed chamber (difference of 4.7%-14%). Flow field analysis shows that air speed in the chamber is lower than 0.001 m/s and Reynolds number is smaller than 0.5, confirming the diffusion nature. Results indicate that a chamber with large bottom area and/or low height could have high acceptable sampling flow rate, which would reduce sampling time needed. A field test demonstrated that the method can reasonably help reconstruct pollution field and capture interface concentrations change along with temperature. The proposed in-situ method could facilitate better diagnose indoor air pollution by quantifying source contributions.</t>
  </si>
  <si>
    <t>[Shi, Siming; Liu, Yixin; Deng, Zilong; Liu, Cong] Southeast Univ, Sch Energy &amp; Environm, Nanjing 210096, Jiangsu, Peoples R China; [Ye, Jin] Jiangsu Univ Sci &amp; Technol, Sch Energy &amp; Power, Zhenjiang 212100, Jiangsu, Peoples R China; [Wang, Zhiyuan; Yu, Tao; Mu, Minhao] Wuhan Second Ship Design &amp; Res Inst, Wuhan 430205, Peoples R China; [Song, Ying] Hubei Prov Engn &amp; Technol Res Ctr Food Qual &amp; Safe, Hubei Prov Inst Food Supervis &amp; Test, Wuhan 430075, Peoples R China; [Li, Jingguang] Shanghai Res Inst Bldg Sci Grp Co Ltd, Shanghai 201108, Peoples R China; [Ding, Zhen] Jiangsu Prov Ctr Dis Control &amp; Prevent, Dept Environm Hlth, Nanjing 210009, Jiangsu, Peoples R China; [Xu, Ying] Tsinghua Univ, Dept Bldg Sci, Beijing 100084, Peoples R China; [Fang, Jingjing] Naval Med Ctr, 880 Xiangyin Rd, Shanghai, Peoples R China</t>
  </si>
  <si>
    <t>Southeast University - China; Jiangsu University of Science &amp; Technology; Jiangsu Provincial Center for Disease Control &amp; Prevention; Tsinghua University</t>
  </si>
  <si>
    <t>Liu, C (corresponding author), Southeast Univ, Sch Energy &amp; Environm, Nanjing 210096, Jiangsu, Peoples R China.;Fang, JJ (corresponding author), Naval Med Ctr, 880 Xiangyin Rd, Shanghai, Peoples R China.</t>
  </si>
  <si>
    <t>jjfang@smmu.edu.cn; liuc@seu.edu.cn</t>
  </si>
  <si>
    <t>10.1007/s12273-025-1309-8</t>
  </si>
  <si>
    <t>WOS:001522423900001</t>
  </si>
  <si>
    <t>Wei, ZL; Tang, ZF; Chen, SY; Zhang, YH; Wang, ZY; Geng, Y; Lin, BR</t>
  </si>
  <si>
    <t>Wei, Ziliang; Tang, Zhuofan; Chen, Shuyi; Zhang, Yihu; Wang, Zhenyu; Geng, Yang; Lin, Borong</t>
  </si>
  <si>
    <t>Scalable evaluation of demand response potential of HVAC systems: Establishing comprehensive room-centric model library and surrogate models</t>
  </si>
  <si>
    <t>demand response potential; HVAC system; surrogate model; EnergyPlus; large-scale evaluation</t>
  </si>
  <si>
    <t>STATE</t>
  </si>
  <si>
    <t>Demand Response (DR) is a critical strategy for managing the integration of renewable energy sources into the power grid, addressing the challenges posed by their intermittent and unpredictable nature. This study introduces a rapid evaluation method for assessing the DR potential of large-scale Heating, Ventilation, and Air Conditioning (HVAC) systems, focusing on the significant role these systems play in energy consumption and grid flexibility. Firstly, the methodology involves constructing a simulation model library that encompasses three dimensions including room type, room location, and internal heat gain mode to reflect the dynamic characteristics of cooling load. Additionally, batch simulations generate DR profiles under various typical weather conditions, and surrogate models are trained for each simulation model, leveraging feature engineering and cross-validation to enhance accuracy. The Multi-Layer Perceptron (MLP) surrogate models achieve high accuracy in predicting DR potential under various scenarios, with R2 values exceeding 0.95. This study provides a robust framework that enables load aggregators to accurately estimate the demand response potential of large-scale HVAC systems. It supports the quantification of response capabilities and facilitates participation in bidding processes. Furthermore, it highlights the potential of data-driven models to enable rapid and scalable energy management.</t>
  </si>
  <si>
    <t>[Wei, Ziliang; Chen, Shuyi; Zhang, Yihu; Geng, Yang; Lin, Borong] Tsinghua Univ, Sch Architecture, Beijing 100084, Peoples R China; [Wei, Ziliang; Chen, Shuyi; Zhang, Yihu; Geng, Yang; Lin, Borong] Tsinghua Univ, Minist Educ, Key Lab Eco Planning &amp; Green Bldg, Beijing, Peoples R China; [Tang, Zhuofan] State Grid Shanghai Elect Power Co, Shanghai, Peoples R China; [Tang, Zhuofan] Shanghai Key Lab Smart Grid Demand Response, Shanghai 200030, Peoples R China; [Wang, Zhenyu] Wuhan Efficiency Evaluat Co Ltd, State Grid Elect Power Res Inst, Wuhan 430074, Peoples R China</t>
  </si>
  <si>
    <t>Tsinghua University; Tsinghua University; State Grid Corporation of China; State Grid Corporation of China</t>
  </si>
  <si>
    <t>Geng, Y; Lin, BR (corresponding author), Tsinghua Univ, Sch Architecture, Beijing 100084, Peoples R China.;Geng, Y; Lin, BR (corresponding author), Tsinghua Univ, Minist Educ, Key Lab Eco Planning &amp; Green Bldg, Beijing, Peoples R China.</t>
  </si>
  <si>
    <t>gengy@tsinghua.edu.cn; linbr@tsinghua.edu.cn</t>
  </si>
  <si>
    <t>10.1007/s12273-025-1312-0</t>
  </si>
  <si>
    <t>WOS:001521503000001</t>
  </si>
  <si>
    <t>Chakrabarty, A; Vanfretti, L; Wang, Y; Zhan, SC; Mineyuki, T; Tang, WT; Paulson, JA; Deshpande, V; Bortoff, SA; Laughman, CR</t>
  </si>
  <si>
    <t>Chakrabarty, Ankush; Vanfretti, Luigi; Wang, Ye; Zhan, Sicheng; Mineyuki, Takuma; Tang, Wei-Ting; Paulson, Joel A.; Deshpande, Vedang; Bortoff, Scott A.; Laughman, Christopher R.</t>
  </si>
  <si>
    <t>Time-series generative networks for synthesizing realistic scenarios in occupant-centric building simulation</t>
  </si>
  <si>
    <t>generative AI; building controls; digital twins; load schedules; performance monitoring</t>
  </si>
  <si>
    <t>Occupant-centric building simulation models rely on two key factors: our understanding of the underlying physics that govern thermal dynamics, and realistic modeling of occupancy patterns and energy use within the zone of interest. While current physics-oriented building simulation models predict thermal dynamics accurately, a systematic and scalable way to generate occupancy and energy use patterns remains an open challenge despite the large amount of data collected from building sensors across academic and industry efforts. In this paper, we leverage deep generative networks capable of learning from real building data for generating realistic occupant-centric scenarios to inform building simulations. Our ultimate goal is to assess building performance over a wide range of generated scenarios, which is currently done either by taking a small set of nominal scenarios or by handcrafting specific scenarios, both of which restrict the quality of building performance assessment to a few biased use-cases. For the purpose of generating scenarios automatically, we employ a recently proposed architecture called RAFT-VG (regularized adversarially fine-tuned VAE-GAN) that combines the benefits of variational autoencoders (VAEs) and generative adversarial networks (GANs), and demonstrate its capacity for synthesizing a variety of signals including occupancy patterns, internal heat loads, and ambient conditions. A key feature of this neural architecture is that the generative process depends solely on a conditional decoder network. Distilling the deep RAFT-VG model to a simpler decoder for inference allows us to propose a general framework for integrating the generative model directly in Modelica. The closed-loop building performance with various generated scenarios, along with the Modelica integration, is demonstrated via simulation use-cases using the Modelica BESTEST repository.</t>
  </si>
  <si>
    <t>[Chakrabarty, Ankush; Wang, Ye; Deshpande, Vedang; Bortoff, Scott A.; Laughman, Christopher R.] Mitsubishi Elect Res Labs, Cambridge, MA 02139 USA; [Vanfretti, Luigi] Rensselaer Polytech Inst, Troy, NY 12180 USA; [Zhan, Sicheng] MIT, Cambridge, MA 02139 USA; [Mineyuki, Takuma] Mitsubishi Electr Corp, Informat Technol R&amp;D Ctr, Kamakura, Kanagawa 2478501, Japan; [Tang, Wei-Ting; Paulson, Joel A.] Ohio State Univ, Columbus, OH 43210 USA</t>
  </si>
  <si>
    <t>Rensselaer Polytechnic Institute; Massachusetts Institute of Technology (MIT); Mitsubishi International Corporation (MIC); Mitsubishi Electric Corporation; University System of Ohio; Ohio State University</t>
  </si>
  <si>
    <t>Chakrabarty, A (corresponding author), Mitsubishi Elect Res Labs, Cambridge, MA 02139 USA.</t>
  </si>
  <si>
    <t>achakrabarty@ieee.org</t>
  </si>
  <si>
    <t>10.1007/s12273-025-1260-8</t>
  </si>
  <si>
    <t>WOS:001520723000001</t>
  </si>
  <si>
    <t>Liu, HX; Li, XM; Liu, SQ; Zhang, HY; Han, ZW; Gao, B</t>
  </si>
  <si>
    <t>Liu, Haoxue; Li, Xiuming; Liu, Siqi; Zhang, Haiyang; Han, Zongwei; Gao, Bo</t>
  </si>
  <si>
    <t>Simulation study on suppressing temperature fluctuation based on PCM for radiant supply cooling systems in thermodynamic measurement laboratory</t>
  </si>
  <si>
    <t>radiant cooling system; phase change material; water tank; radiant panel</t>
  </si>
  <si>
    <t>THERMAL-ENERGY STORAGE; PERFORMANCE; HEAT; BUILDINGS</t>
  </si>
  <si>
    <t>Temperature precision control is one of the most critical issues in metrology laboratories, and this issue has become increasingly stringent in modern society. Radiant air conditioning system, which minimizes vibration through radiant heat transfer instead of conventional convection, has gained attention but is more sensitive to temperature fluctuations from the cooling source. Considering that phase change materials (PCMs) have the advantage of suppressing water temperature fluctuations, comparative simulations are carried out to analyze the suppressing effectiveness by adding two typical PCMs (paraffin and dimethyl sulfoxide) in water tanks and radiant panels separately. Results indicate that adding paraffin to water tanks has a better effect than dimethyl sulfoxide while it is inverse for radiant panels. Then, the adding volume ratios (paraffin for the water tank is 0.2; dimethyl sulfoxide for radiant panels is 0.1) are provided, when surface temperature fluctuations of radiant panels are suppressed within +/- 0.1 K. Finally, the relationship between the latent heat/thermal conductivity of PCM versus suppressing effect is investigated to provide a reference for the design of radiant air conditioning systems in metrology laboratories.</t>
  </si>
  <si>
    <t>[Liu, Haoxue; Li, Xiuming; Liu, Siqi; Han, Zongwei] Northeastern Univ, Liaoning Engn Res Ctr Proc Ind Energy Saving &amp; Low, Sch Met, Shenyang 110819, Peoples R China; [Liu, Siqi; Zhang, Haiyang; Gao, Bo] State Key Lab Cryogen Sci &amp; Technol, Beijing 100190, Peoples R China; [Zhang, Haiyang; Gao, Bo] Chinese Acad Sci, Tech Inst Phys &amp; Chem TIPC, TIPC LNE Joint Lab Cryogen Metrol Sci &amp; Technol, Beijing 100190, Peoples R China</t>
  </si>
  <si>
    <t>Han, ZW (corresponding author), Northeastern Univ, Liaoning Engn Res Ctr Proc Ind Energy Saving &amp; Low, Sch Met, Shenyang 110819, Peoples R China.;Gao, B (corresponding author), State Key Lab Cryogen Sci &amp; Technol, Beijing 100190, Peoples R China.;Gao, B (corresponding author), Chinese Acad Sci, Tech Inst Phys &amp; Chem TIPC, TIPC LNE Joint Lab Cryogen Metrol Sci &amp; Technol, Beijing 100190, Peoples R China.</t>
  </si>
  <si>
    <t>hanzw@smm.neu.edu.cn; bgao@mail.ipc.ac.cn</t>
  </si>
  <si>
    <t>10.1007/s12273-025-1311-1</t>
  </si>
  <si>
    <t>WOS:001520716100001</t>
  </si>
  <si>
    <t>Suppa, AR; Aliberti, A; Bottero, MC; Corrado, V</t>
  </si>
  <si>
    <t>Suppa, Anthony Robert; Aliberti, Alessandro; Bottero, Marta Carla; Corrado, Vincenzo</t>
  </si>
  <si>
    <t>Detecting window-to-wall ratio for urban-scale building simulations using deep learning with street view imagery and an automatic classification algorithm</t>
  </si>
  <si>
    <t>building- and district-scale WWR; machine learning; street view imagery; automatic image extraction and stitching; building fa &amp; ccedil;ade classification; urban building energy modeling (UBEM)</t>
  </si>
  <si>
    <t>RESIDENTIAL BUILDINGS; ENERGY; FEATURES</t>
  </si>
  <si>
    <t>Machine learning techniques can fill data gaps for urban-scale building simulations, particularly gaps around window-to-wall ratio (WWR). This study presents a comprehensive workflow to (1) automatically extract and stitch images from Google Street View (GSV); (2) label images with a custom Rhino-based tool to aid annotation of occluded glazing; (3) detect wall, garage, and glazing objects by training and validating a YOLOv9 deep learning model with three added post-scripts; (4) calculate WWR at fa &amp; ccedil;ade, building, and district scales; and (5) simulate district energy consumption in an urban building energy model (UBEM). Results include a 96% image-capture rate from GSV, indicating a robust extraction and stitching algorithm. Converting model detections into WWR, 94% and 100% of fa &amp; ccedil;ades have detected WWRs within +/- 5% and +/- 10% of ground truth WWRs, respectively. A novel automatic algorithm upscales fa &amp; ccedil;ade detection to estimate WWR at non-street-facing sides and rears, resulting in distinct WWRs for each face of each building. For a case study in Turin, Italy, WWR detections are +5.2% and +6.9% greater when upscaling based on OpenStreetMap and municipal GIS data, respectively, compared to TABULA, leading to 1.5% and 35.5% increases in heating and cooling energy need in the UBEM. The workflow is made openly available to support future research in other contexts.</t>
  </si>
  <si>
    <t>[Suppa, Anthony Robert; Aliberti, Alessandro; Bottero, Marta Carla] Politecn Torino, Interuniv Dept Reg &amp; Urban Studies &amp; Planning DIST, Viale Mattioli 39, I-10125 Turin, Italy; [Corrado, Vincenzo] Politecn Torino, Dept Energy, Corso Duca Abruzzi 24, I-10129 Turin, Italy</t>
  </si>
  <si>
    <t>Polytechnic University of Turin; Polytechnic University of Turin</t>
  </si>
  <si>
    <t>Suppa, AR (corresponding author), Politecn Torino, Interuniv Dept Reg &amp; Urban Studies &amp; Planning DIST, Viale Mattioli 39, I-10125 Turin, Italy.</t>
  </si>
  <si>
    <t>anthony.suppa@polito.it</t>
  </si>
  <si>
    <t>10.1007/s12273-025-1301-3</t>
  </si>
  <si>
    <t>JUN 2025</t>
  </si>
  <si>
    <t>WOS:001518285000001</t>
  </si>
  <si>
    <t>Alaili, K; Tedjditi, AK; Moutaouakil, E; Outzourhit, A</t>
  </si>
  <si>
    <t>Alaili, Kamal; Tedjditi, Ahmed Kamel; Moutaouakil, El Mostapha; Outzourhit, Abdelkader</t>
  </si>
  <si>
    <t>Optimizing building envelope design across various French climates: A multi-objective approach using NSGA II and RMP method</t>
  </si>
  <si>
    <t>energy efficiency of buildings; multi-objective optimization; NSGA-II; RMP</t>
  </si>
  <si>
    <t>DECISION-MAKING METHODS; ENERGY PERFORMANCE; THERMAL PERFORMANCE; OPTIMIZATION DESIGN; GENETIC ALGORITHM; TOPSIS; CONSUMPTION; RETROFIT; COMFORT</t>
  </si>
  <si>
    <t>Architects face a major challenge in designing buildings that enhance human comfort while minimizing energy consumption. To address this, the present work presents a novel multi-objective optimization approach, aiming to determine the optimal building envelope design. The developed approach focuses on minimizing energy consumption for both heating and cooling demand. Therefore, the methodology follows three basic steps, namely, (i) energy simulation using EnergyPlus software, (ii) optimization (non-dominant sorting genetic algorithm NSGA II), and (iii) multi-criteria decision analysis (MCDA). In this study, simulations were firstly carried out on a single-story family house located in three distinct French climates: Nancy (semi-continental climate), Embrun (oceanic climate), and Nice (Mediterranean climate) in order to analyze the effect of climate on optimization results. For each site, seven decision variables for optimization problem are considered, including, wall insulation material properties, building rotation, glazing type, window-to-wall ratio (WWR), heating and cooling set-point temperatures, and infiltration rate. Pareto fronts are used to display the optimization results, which are obtained through NSGA II iterations depending on the specified optimization objectives of heating and cooling demand. The optimization (after 900 iterations) yielded 10 Pareto solutions for Nancy, 26 for Embrun, and 23 for Nice. The top-ranked Pareto-optimal solution, considering the requirements of the French building code (RT2012/RE2020), Passivhaus standard, and client preferences, which minimizes cooling, heating, and total energy consumption, was selected using a new MCDA method called ranking with multiple reference profiles (RMP). The results showed that when equal weight is given to the heating and cooling objective functions, total energy consumption decreases by 8.71% for Nancy, by 9.81% to 18.34% for Embrun, and by 6.52% to 21.7% for Nice, compared to the initial design, depending on the adopted lexicographic order.</t>
  </si>
  <si>
    <t>[Alaili, Kamal; Moutaouakil, El Mostapha] CESI LINEACT UR7527, 19 Ave Foret de Haye, F-54500 Vandoeuvre Les Nancy, France; [Tedjditi, Ahmed Kamel] CESI LINEACT UR7527, 2 Allee Foulons, F-67381 Lingolsheim, France; [Outzourhit, Abdelkader] Cadi Ayyad Univ, Fac Sci Semlalia, Lab LaMEE, Marrakech, Morocco; [Outzourhit, Abdelkader] Mohamed VI Polytech Univ, MSN Dept, Benguerir, Morocco</t>
  </si>
  <si>
    <t>Cadi Ayyad University of Marrakech; Mohammed VI Polytechnic University</t>
  </si>
  <si>
    <t>Alaili, K (corresponding author), CESI LINEACT UR7527, 19 Ave Foret de Haye, F-54500 Vandoeuvre Les Nancy, France.</t>
  </si>
  <si>
    <t>kalaili@cesi.fr</t>
  </si>
  <si>
    <t>10.1007/s12273-025-1280-4</t>
  </si>
  <si>
    <t>WOS:001518085800001</t>
  </si>
  <si>
    <t>Chang, YF; Zong, J; Hu, Y; Ai, ZT; Zhang, WC; Zhao, WX; Liu, ZB; Zhang, RP</t>
  </si>
  <si>
    <t>Chang, Yufan; Zong, Jie; Hu, Yan; Ai, Zhengtao; Zhang, Weichao; Zhao, Wenxuan; Liu, Zhongbing; Zhang, Rongpeng</t>
  </si>
  <si>
    <t>Data-driven modeling and sensitivity analysis of pressure differential deviations in pharmaceutical cleanrooms under static conditions and dynamic disturbances</t>
  </si>
  <si>
    <t>pharmaceutical cleanroom; pressure differential; field survey; data-driven modeling; sensitivity analysis</t>
  </si>
  <si>
    <t>AIR BALANCING METHOD; ENERGY-CONSUMPTION; SIMULATION; SYSTEMS; IMPACT</t>
  </si>
  <si>
    <t>Pressure differential deviations under static conditions and pressure convergence fluctuations under dynamic disturbances are widely reported problems with pressure differential control in pharmaceutical cleanrooms, yet their underlying mechanisms and key reasons remain insufficiently explored. This study performed a field survey and model-based simulations to identify the major influencing parameters and quantify their influence on pressure differentials. Twelve pharmaceutical cleanrooms with varying environmental control parameters were included in the field survey, all of which were served by a variable air volume (VAV) ventilation system. Large deviations between actual and design pressure differentials were found, ranging from 10% to 42.5%, and a total of 24 uncertain parameters and their respective uncertainty ranges were identified. Based on the field survey, a data-driven pressure differential response model was developed using MATLAB/Simulink platform. The model fully took into account the system dynamics and facilitated real-time monitoring and control of the pressure differential. Sobol-based sensitivity analysis was then conducted to identify key influencing parameters of pressure differential deviations. The simulated results revealed that static pressure differential deviations were predominantly influenced by pressure sensing accuracy, exhaust airflow accuracy, and duct impedance, while dynamic disturbances were mainly driven by room envelope airtightness and supply airflow accuracy. The interactions between connected zones were pronounced. Rooms with higher branch duct impedance experienced smaller pressure differential deviations due to natural buffering characteristics, while the parameter uncertainties in these rooms significantly affected pressure differential in other rooms. These findings offer practical guidance for the design and operation of precise pressure differential control in pharmaceutical cleanrooms.</t>
  </si>
  <si>
    <t>[Chang, Yufan; Zong, Jie; Hu, Yan; Ai, Zhengtao] Hunan Univ, Coll Civil Engn, Dept Bldg Environm &amp; Energy, Changsha, Hunan, Peoples R China; [Chang, Yufan; Zong, Jie; Hu, Yan; Ai, Zhengtao] Hunan Univ, Natl Ctr Int Res Collaborat Bldg Safety &amp; Environm, Changsha, Hunan, Peoples R China; [Zhang, Weichao] China Elect Syst Engn 2 Construct Co Ltd, Wuxi, Jiangsu, Peoples R China; [Zhao, Wenxuan; Zhang, Rongpeng] Hunan Univ, Sch Architecture &amp; Planning, Changsha, Hunan, Peoples R China; [Liu, Zhongbing] Hunan Univ, Key Lab Bldg Safety &amp; Energy Efficiency, Minist Educ, Changsha, Hunan, Peoples R China</t>
  </si>
  <si>
    <t>Hunan University; Hunan University; Hunan University; Hunan University</t>
  </si>
  <si>
    <t>10.1007/s12273-025-1305-z</t>
  </si>
  <si>
    <t>WOS:001518483700001</t>
  </si>
  <si>
    <t>Yuan, F; Yao, RM; Kumar, P; Pain, C; Shu, ZY; Li, BZ</t>
  </si>
  <si>
    <t>Yuan, Feng; Yao, Runming; Kumar, Prashant; Pain, Christopher; Shu, Ziyu; Li, Baizhan</t>
  </si>
  <si>
    <t>Recognition of children's movement patterns during recess for characterizing particle exposure doses</t>
  </si>
  <si>
    <t>activity speed; activity duration; machine learning; primary school; particulate matter exposure</t>
  </si>
  <si>
    <t>INDOOR AIR-QUALITY; PHYSICAL-ACTIVITY; PARTICULATE MATTER; SEDENTARY BEHAVIOR; SCHOOL RECESS; OUTDOOR; FREQUENCY; EMPHASIS; FITNESS; VOLUME</t>
  </si>
  <si>
    <t>Children exhibit unique activity patterns in classrooms, and their movements influence the resuspension of particulate matter, thereby increasing the risk of inhalation. To quantify children's activity patterns and particulate matter inhalation doses, we measured particulate matter concentrations and tracked the recess activities of 194 children in two primary schools. YOLO v9 combined with the DeepSORT algorithm was used to identify and track the children in the videos, thereby calculating the speed and duration of each child. Statistical analysis revealed that classroom activities were highly transitory and predominantly of light intensity. The proportion of light-intensity physical activity in this study was 7%-15% higher than that reported in previous studies, attributable to high occupant density, limited activity space, and characteristics of the Chinese education environment. The median durations of recess activities decreased from light-intensity (4.7 s) to moderate-intensity (2.5 s) and vigorous-intensity activities (2.2 s). Furthermore, children's activity speed and duration were strongly associated with variations in indoor PM2.5 concentrations. Additionally, the daily inhalation dose during recess decreased with increasing age, being 14.67% lower in the middle age group and 30.64% lower in the upper age group compared to the lower age group. Our analysis provides a valuable reference for assessing the health risks caused by particulate matter and for more effective measures to improve the classroom environment.</t>
  </si>
  <si>
    <t>[Yuan, Feng; Yao, Runming; Shu, Ziyu; Li, Baizhan] Chongqing Univ, Joint Int Res Lab Green Bldg &amp; Built Environm, Minist Educ, Chongqing 400045, Peoples R China; [Yuan, Feng; Yao, Runming; Shu, Ziyu; Li, Baizhan] Chongqing Univ, Natl Ctr Int Res Lowcarbon &amp; Green Bldg, Minist Sci &amp; Technol, Chongqing 400045, Peoples R China; [Yao, Runming] Univ Reading, Sch Built Environm, Reading, England; [Kumar, Prashant] Univ Surrey, Fac Engn &amp; Phys Sci, Global Ctr Clean Air Res GCARE, Sch Sustainabil Civil &amp; Environm Engn, Guildford GU2 7XH, England; [Kumar, Prashant] Univ Surrey, Inst Sustainabil, Guildford GU2 7XH, England; [Pain, Christopher] Imperial Coll London, Dept Earth Sci &amp; Engn, London SW7 2AZ, England</t>
  </si>
  <si>
    <t>Chongqing University; Chongqing University; University of Reading; University of Surrey; University of Surrey; Imperial College London</t>
  </si>
  <si>
    <t>Yao, RM (corresponding author), Chongqing Univ, Joint Int Res Lab Green Bldg &amp; Built Environm, Minist Educ, Chongqing 400045, Peoples R China.;Yao, RM (corresponding author), Chongqing Univ, Natl Ctr Int Res Lowcarbon &amp; Green Bldg, Minist Sci &amp; Technol, Chongqing 400045, Peoples R China.;Yao, RM (corresponding author), Univ Reading, Sch Built Environm, Reading, England.</t>
  </si>
  <si>
    <t>r.yao@cqu.edu.cn</t>
  </si>
  <si>
    <t>10.1007/s12273-025-1295-x</t>
  </si>
  <si>
    <t>WOS:001518094000001</t>
  </si>
  <si>
    <t>Zhang, ZH; Xin, X; Zhou, Y; Dang, DF; Fu, JH; Liu, YF</t>
  </si>
  <si>
    <t>Zhang, Zhihao; Xin, Xin; Zhou, Yong; Dang, Daifeng; Fu, Jiahao; Liu, Yanfeng</t>
  </si>
  <si>
    <t>An operational regulation method for solar heating system based on Deep reinforcement learning</t>
  </si>
  <si>
    <t>solar heating system; model-free predictive control; optimal control; Deep reinforcement learning</t>
  </si>
  <si>
    <t>PUMP SYSTEM; ENERGY; BUILDINGS</t>
  </si>
  <si>
    <t>The performance of solar heating systems is significantly influenced by outdoor weather fluctuations and building heating loads, leading to dynamic variations that undermine the efficacy of rule-based control (RBC) strategies. Additionally, the hydraulic and thermal time-delay characteristics frequently lead to delays in control points for real-time optimization (RTO) control strategies. While Model Predictive Control (MPC) effectively addresses these dynamic and time-delay issues in solar heating systems, its substantial computational demands limit its real-world applications. To overcome these challenges, this study proposes a Model-Free Predictive Control (MFPC) approach utilizing Deep reinforcement learning (DRL). Through TRNSYS simulations, the study conducts a comparison of the performance and energy consumption of RBC and MFPC systems, focusing on a residential solar heating system in Lhasa, Xizang as a case study. The results demonstrate that the MFPC method reduces unmet heating demand by 31% compared to traditional RBC strategies, improves solar collection efficiency by nearly 12%, and decreases tank heat loss by 2.2%. When accounting for thermal storage effects, the optimized MFPC strategy achieves a reduction in net energy consumption of 25.6%.</t>
  </si>
  <si>
    <t>[Zhang, Zhihao; Xin, Xin; Dang, Daifeng; Fu, Jiahao; Liu, Yanfeng] Xian Univ Architecture &amp; Technol, Sch Bldg Serv Sci &amp; Engn, 13 Yanta Rd, Xian 710055, Peoples R China; [Zhou, Yong] Xian Univ Architecture &amp; Technol, Sch Management, 13 Yanta Rd, Xian 710055, Peoples R China; [Dang, Daifeng; Liu, Yanfeng] Xian Univ Architecture &amp; Technol, State Key Lab Green Bldg Western China, 13 Yanta Rd, Xian 710055, Peoples R China</t>
  </si>
  <si>
    <t>Zhou, Y (corresponding author), Xian Univ Architecture &amp; Technol, Sch Management, 13 Yanta Rd, Xian 710055, Peoples R China.</t>
  </si>
  <si>
    <t>zhouyong@xauat.edu.cn</t>
  </si>
  <si>
    <t>10.1007/s12273-025-1297-8</t>
  </si>
  <si>
    <t>WOS:001512262700001</t>
  </si>
  <si>
    <t>Chen, X; Gong, GC</t>
  </si>
  <si>
    <t>Chen, Xiang; Gong, Guangcai</t>
  </si>
  <si>
    <t>Measurement points sampling analysis for indoor airflow field reconstruction using physics-informed neural networks</t>
  </si>
  <si>
    <t>airflow field; PINN; measurement points sampling; orthogonal experiment</t>
  </si>
  <si>
    <t>REAL-TIME; SIMULATION; ENVIRONMENT; TRACKING; CFD</t>
  </si>
  <si>
    <t>Creating a comfortable and healthy indoor environment is very important for indoor occupants. It is difficult to obtain complete information about the indoor airflow field from experimental measurements only, but traditional computational fluid dynamics methods require a lot of time and complex boundary conditions. With the advent of data-driven methods, the cost of the reconstruction of indoor airflow fields has been greatly reduced. Therefore, a two-dimensional airflow field with only a limited amount of experimental measurement data is reconstructed using a physics-informed neural network (PINN), and the constructed PINN model increases the physical interpretability of the neural network through the Navier-Stokes equations. Subsequently, the influence of the number and spatial location of the experimental measurement points on the accuracy of the PINN model for the reconstruction of the indoor airflow field is discussed, and the influence of different spatial locations of the measurement points on the PINN model for the reconstruction of the indoor airflow field is analyzed in more detail by orthogonal experiments with non-global information and orthogonal experiments with global information. The results show that the indoor airflow field can be reconstructed accurately by using only a limited amount of measurement points to participate in the training of the PINN model, and the measurement points that can reflect the vortex information in the airflow field are more favorable for the reconstruction of the airflow field. Moreover, only orthogonal experiments with global information can effectively infer the optimal spatial location for sampling measurement points in the airflow field.</t>
  </si>
  <si>
    <t>[Chen, Xiang; Gong, Guangcai] Hunan Univ, Coll Civil Engn, Changsha 410082, Peoples R China</t>
  </si>
  <si>
    <t>Hunan University</t>
  </si>
  <si>
    <t>Gong, GC (corresponding author), Hunan Univ, Coll Civil Engn, Changsha 410082, Peoples R China.</t>
  </si>
  <si>
    <t>gcgong@hnu.edu.cn</t>
  </si>
  <si>
    <t>10.1007/s12273-025-1304-0</t>
  </si>
  <si>
    <t>WOS:001512258000001</t>
  </si>
  <si>
    <t>Wang, CH; Yan, CZ; Zhang, ZY; Liu, JJ; Han, X</t>
  </si>
  <si>
    <t>Wang, Chenhua; Yan, Chenzheng; Zhang, Zhiyang; Liu, Junjie; Han, Xu</t>
  </si>
  <si>
    <t>A novel electrostatic precipitator with superhydrophobic coating for enhanced particulate removal efficiency restoration</t>
  </si>
  <si>
    <t>electrostatic precipitator; superhydrophobic coating; submicron particles; removal efficiency</t>
  </si>
  <si>
    <t>Electrostatic precipitators (ESPs) are widely used for particulate matter control in buildings due to their cost-effectiveness and low maintenance requirements. However, existing ESPs exhibit low removal efficiency for submicron particles and inefficient dust cleaning after accumulation. To address these limitations, a collection module in ESP, featuring electrodes coated with a PVDF/H-SiO2 superhydrophobic coating, is proposed. The applied voltage, electrode gap, and coating material are evaluated in this study. Results showed that the water contact angle on the coated surface was 152.4 degrees, attributed to the combination of low-surface-energy groups and rough structures. When superhydrophobic electrodes with a 2-mm gap were used and air velocity of 1.5 m/s, the removal efficiency for 0.3-0.5 mu m particles was 92.5%. Additionally, the removal efficiency of the collection module with superhydrophobic coating could be restored to 99.7% of its initial efficiency, compared to 87.0% for the collection module without the coating. Moreover, the removal efficiency of the ESP remained consistently high over 21 days with an average of 91.3%. The proposed novel ESP demonstrates significant potential for air removal in ventilation systems for clean and sustainable building environments.</t>
  </si>
  <si>
    <t>[Wang, Chenhua; Yan, Chenzheng; Zhang, Zhiyang; Liu, Junjie] Tianjin Univ, Sch Environm Sci &amp; Engn, Tianjin Key Lab Indoor Air Environm Qual Control, Tianjin 300072, Peoples R China; [Han, Xu] Tianjin Univ, Sch Chem Engn &amp; Technol, Tianjin 300072, Peoples R China</t>
  </si>
  <si>
    <t>Tianjin University; Tianjin University</t>
  </si>
  <si>
    <t>Liu, JJ (corresponding author), Tianjin Univ, Sch Environm Sci &amp; Engn, Tianjin Key Lab Indoor Air Environm Qual Control, Tianjin 300072, Peoples R China.;Han, X (corresponding author), Tianjin Univ, Sch Chem Engn &amp; Technol, Tianjin 300072, Peoples R China.</t>
  </si>
  <si>
    <t>jjliu@tju.edu.cn; xuhan@tju.edu.cn</t>
  </si>
  <si>
    <t>10.1007/s12273-025-1299-6</t>
  </si>
  <si>
    <t>WOS:001511394300001</t>
  </si>
  <si>
    <t>Jiang, JN; Meng, Q; Yang, D; Li, MM; Kang, J</t>
  </si>
  <si>
    <t>Jiang, Jiani; Meng, Qi; Yang, Da; Li, Mengmeng; Kang, Jian</t>
  </si>
  <si>
    <t>Simulating spatial experience in exhibition spaces with musical soundscapes using virtual reality</t>
  </si>
  <si>
    <t>musical soundscape; exhibition space; virtual reality technology; spatial layout; spatial perception; roaming behavior</t>
  </si>
  <si>
    <t>BACKGROUND MUSIC; SOUND; REPRESENTATIONS; PERCEPTIONS; PERFORMANCE; ACOUSTICS; IMPACT; MODEL</t>
  </si>
  <si>
    <t>The experience of interior space is profoundly shaped by the interplay of various sensory inputs. Despite this, soundscape design remains an underexplored avenue for enhancing spatial experience in built environments. Using virtual reality technology, this study simulated how musical soundscape, including objective musical attributes (mode, tempo, reverberation time-RT), and subjective music evaluations, affect spatial perception and roaming behavior within exhibition spaces featuring diverse layouts. The key findings are as follows: (1) The explanatory contributions of music attributes and subjective evaluations vary across different spatial perceptual dimensions. For instance, major mode and slow tempo significantly enhance spatial scale perception, whereas music familiarity plays a role in influencing spatial legibility. (2) Visual factors have an inherent effect on spatial perception, with significant impacts on spatial scale, fluidity, abundance, and legibility. (3) Music influences spatial perception across different layouts, and its mediating effects on roaming behavior differ. For instance, in axial spaces, increasing spatial abundance positively impacts roaming time and range, with RT conditions playing a key role. In shape-contrast spaces, spatial legibility significantly influences roaming range, with mode and familiarity affecting the results. This study provides a comprehensive exploration of the complex interactions between music, spatial perception, and human behavior, offering valuable insights for future soundscape design.</t>
  </si>
  <si>
    <t>[Jiang, Jiani; Meng, Qi; Yang, Da; Li, Mengmeng] Harbin Inst Technol, Sch Architecture &amp; Design, 92 Xidazhi St, Harbin, Heilongjiang, Peoples R China; [Jiang, Jiani; Meng, Qi; Yang, Da; Li, Mengmeng] Minist Ind &amp; Informat Technol, Key Lab Cold Reg Urban &amp; Rural Human Settlement En, 92 Xidazhi St, Harbin, Heilongjiang, Peoples R China; [Kang, Jian] Bartlett Univ Coll London, Inst Environm Design &amp; Engn, London, England</t>
  </si>
  <si>
    <t>Harbin Institute of Technology; University of London; University College London</t>
  </si>
  <si>
    <t>Meng, Q (corresponding author), Harbin Inst Technol, Sch Architecture &amp; Design, 92 Xidazhi St, Harbin, Heilongjiang, Peoples R China.;Meng, Q (corresponding author), Minist Ind &amp; Informat Technol, Key Lab Cold Reg Urban &amp; Rural Human Settlement En, 92 Xidazhi St, Harbin, Heilongjiang, Peoples R China.</t>
  </si>
  <si>
    <t>mengq@hit.edu.cn</t>
  </si>
  <si>
    <t>10.1007/s12273-025-1308-9</t>
  </si>
  <si>
    <t>WOS:001510301300001</t>
  </si>
  <si>
    <t>Li, H; Hong, TZ</t>
  </si>
  <si>
    <t>Li, Han; Hong, Tianzhen</t>
  </si>
  <si>
    <t>A digital twin platform for building performance monitoring and optimization: Performance simulation and case studies</t>
  </si>
  <si>
    <t>digital twin; building modeling; monitoring; resilience; EnergyPlus</t>
  </si>
  <si>
    <t>Advancements in sensor technology, data analytics, affordable compute, and communication infrastructure have paved the way for Digital Twin technology in optimizing building operations and controls. This study presents the development of an open and interoperable web-based Digital Twin platform for integrating diverse data streams and facilitating effective user interactions. The platform utilizes modern technologies for the web framework and time-series data management, ensuring scalability and responsiveness. The backend supports seamless integration of diverse data sources and emulators, incorporating data from building sensors and meters, external weather Application Programming Interfaces, and advanced EnergyPlus simulation models of the building and its energy systems including the Distributed Energy Resources that are formulated in Functional Mockup Units. A simulation case study was conducted with FlexLab, a test facility on Lawrence Berkeley National Laboratory campus. The case study includes normal operations, Distributed Energy Resource integration, and power outage scenarios, to illustrate the Digital Twin's ability to provide critical insights into energy performance and thermal resilience. The results demonstrated the platform's potential as a decision-support tool for optimizing building energy performance and enhancing resilience against extreme weather events. Future work will focus on deploying the Digital Twin platform to a real building for field validation, extending its capabilities to cover more scenarios such as bidirectional Electric Vehicle interactions, and enhancing user engagement.</t>
  </si>
  <si>
    <t>[Li, Han; Hong, Tianzhen] Lawrence Berkeley Natl Lab, Bldg Technol &amp; Urban Syst Div, Berkeley, CA 94720 USA</t>
  </si>
  <si>
    <t>10.1007/s12273-025-1290-2</t>
  </si>
  <si>
    <t>WOS:001507777100001</t>
  </si>
  <si>
    <t>Xu, YF; Wang, S; Chen, JL; Liu, KH; Wei, YX; Zhang, YR; Wang, JY; Jin, LZ</t>
  </si>
  <si>
    <t>Xu, Yifei; Wang, Shu; Chen, Jiale; Liu, Kunhua; Wei, Yixuan; Zhang, Yuran; Wang, Jiaying; Jin, Longzhe</t>
  </si>
  <si>
    <t>Rapid dust concentration prediction using sparse sensors during tunnel construction</t>
  </si>
  <si>
    <t>computational fluid dynamics; dust concentration field reconstruction; Gaussian process regression; principal component analysis; sparse sensor; tunnel construction</t>
  </si>
  <si>
    <t>GAUSSIAN PROCESS REGRESSION; REDUCED-ORDER MODEL; CFD DATA; FIELD RECONSTRUCTION</t>
  </si>
  <si>
    <t>The drilling-blasting method is a widely used and efficient excavation technique in tunnel construction. However, it generates significant dust pollution, rendering comprehensively and rapidly assessing the distribution of dust concentration during tunnel construction crucial. Existing sensor-based dust-monitoring technologies provide only sparse dust data, while computational fluid dynamics (CFD) simulations are computationally intensive and time-consuming. This study introduces a data-driven approach that integrates principal component analysis (PCA) and Gaussian process regression (GPR) to decompose and reconstruct dust concentration fields, overcoming the limitations of conventional techniques. The approach reconstructs the global dust concentration field on a two-dimensional tunnel plane using sparse sensor measurements, eliminating the need for repeated, time-consuming numerical simulations. Key factors influencing reconstruction accuracy were investigated. The results demonstrate that appropriately increasing the number of PCA modes and sensors improves accuracy, while optimizing sensor placement significantly enhances performance. Specifically, a high-precision reconstruction of the dust concentration field was achieved with an optimized arrangement of five sensors. Additionally, a comparison of different stages in the dust migration process revealed that the method achieved the highest reconstruction accuracy during the steady diffusion stage, highlighting the significant influence of airflow on reconstruction accuracy. Finally, the method was applied to predict dust concentration in a tunnel under construction. The relative error was 19.79%, while the computation time was merely 0.28% of that required for CFD calculations, demonstrating its efficiency and reliability.</t>
  </si>
  <si>
    <t>[Xu, Yifei; Wang, Shu; Chen, Jiale; Liu, Kunhua; Zhang, Yuran; Jin, Longzhe] Univ Sci &amp; Technol Beijing, Sch Resources &amp; Safety Engn, Beijing 100083, Peoples R China; [Wei, Yixuan] Univ Sci &amp; Technol Beijing, Res Inst Macrosafety Sci, Beijing 100083, Peoples R China; [Wang, Shu; Wang, Jiaying; Jin, Longzhe] NHC Key Lab Engn Control Dust Hazard, Beijing 102308, Peoples R China</t>
  </si>
  <si>
    <t>Wang, S (corresponding author), Univ Sci &amp; Technol Beijing, Sch Resources &amp; Safety Engn, Beijing 100083, Peoples R China.;Wang, S (corresponding author), NHC Key Lab Engn Control Dust Hazard, Beijing 102308, Peoples R China.</t>
  </si>
  <si>
    <t>ustbwangshu@ustb.edu.cn</t>
  </si>
  <si>
    <t>10.1007/s12273-025-1284-0</t>
  </si>
  <si>
    <t>WOS:001505336200001</t>
  </si>
  <si>
    <t>Hu, K; Yan, CC; Fang, JJ; Xu, YZ; Zhang, R; Zhuang, CQ</t>
  </si>
  <si>
    <t>Hu, Kai; Yan, Chengchu; Fang, Junjian; Xu, Yizhe; Zhang, Rui; Zhuang, Chaoqun</t>
  </si>
  <si>
    <t>An enhanced multi-sensor calibration method for heating, ventilation, and air conditioning systems without prior knowledge of fault types</t>
  </si>
  <si>
    <t>HVAC systems; sensor calibration; fault diagnose; interval sliding window; virtual in-situ calibration</t>
  </si>
  <si>
    <t>BUILDING SYSTEMS; DIAGNOSIS; PERFORMANCE</t>
  </si>
  <si>
    <t>The virtual in-situ calibration method has been effective in calibrating multiple sensors in HVAC systems when the fault types are known. However, due to the high cost of physical calibration and the strict data accuracy requirements of data-driven methods, obtaining benchmarks for sensors during actual operation is challenging, making it difficult to diagnose the specific fault types of the sensors. To address this issue, an enhanced multi-sensor calibration (EMC) method has been developed to operate without prior knowledge of fault types. The primary soft faults encountered-bias and drift deviations-differ in whether they vary over time. The proposed method employs an interval sliding approach to identify and calibrate these faults within each interval effectively. Furthermore, the influence of interval size on calibration accuracy has been systematically analyzed to optimize performance. The proposed method has been validated on a chiller plant in a large public building in Hong Kong. The experimental results indicate that, under conditions involving eight sensor faults, including even three drift deviations, the EMC method achieved average calibration accurate rates of 100% for bias faults and 95% for drift faults. Notably, in calibrating drift faults, the enhanced method outperformed the high-dimensional sensor calibration method and the Improved simulated annealing method by 87% and 34%, respectively.</t>
  </si>
  <si>
    <t>[Hu, Kai; Yan, Chengchu; Fang, Junjian; Xu, Yizhe; Zhang, Rui; Zhuang, Chaoqun] Nanjing Tech Univ, Coll Urban Construct, 200 North Zhongshan Rd, Nanjing 210009, Peoples R China</t>
  </si>
  <si>
    <t>10.1007/s12273-025-1272-4</t>
  </si>
  <si>
    <t>WOS:001502597500001</t>
  </si>
  <si>
    <t>Fang, JJ; Yan, CC; Lu, WD; Shi, JF; Xu, L; Hu, K; Ji, YH; Zhuang, CQ</t>
  </si>
  <si>
    <t>Fang, Junjian; Yan, Chengchu; Lu, Weidong; Shi, Jingfeng; Xu, Lei; Hu, Kai; Ji, Yuanhui; Zhuang, Chaoqun</t>
  </si>
  <si>
    <t>Embedding physical neurons in physics-informed neural networks (EP-PINNs) for enhancing chiller performance prediction</t>
  </si>
  <si>
    <t>chiller performance prediction; physics-informed neural network; neural network architecture; generalization capability; interpretability</t>
  </si>
  <si>
    <t>ENERGY PERFORMANCE; SIMULATION</t>
  </si>
  <si>
    <t>Accurate chiller performance prediction is crucial for improving the energy efficiency of heating, ventilation, and air conditioning (HVAC) systems. Data-driven models commonly used to enhance chiller performance often rely on sparse data collected under restricted conditions. These models must extrapolate beyond their training data in practical applications, but they generally lack the generalization capability needed for reliable predictions outside their training range. Additionally, their limited interpretability hampers understanding of the physical processes affecting chiller performance, complicating fault identification and performance optimization. To address these issues, this study embeds physical neurons in physics-informed neural networks (EP-PINNs) to enhance chiller performance prediction. By leveraging prior physical knowledge, physical neurons are introduced and embedded into the neural network, forming a neural network architecture with intrinsic physics-based information flow. Simultaneously, simplified physical loss terms are used to guide the training process. The proposed EP-PINNs were applied to predict the performance of four different chillers, and the results demonstrated their high prediction accuracy. Compared to data-driven models, the EP-PINNs exhibited significantly improved generalization capability and interpretability. These advantages highlight the practical value of EP-PINNs in HVAC equipment performance prediction.</t>
  </si>
  <si>
    <t>[Fang, Junjian; Yan, Chengchu; Hu, Kai; Zhuang, Chaoqun] Nanjing Tech Univ, Coll Urban Construct, Nanjing 210009, Peoples R China; [Lu, Weidong] Nanjing Tech Univ, Coll Civil Engn, Nanjing 211800, Peoples R China; [Shi, Jingfeng] Tsinghua Univ, Dept Bldg Sci, Beijing 100084, Peoples R China; [Shi, Jingfeng] Qingdao Hisense Hitachi Air Conditioning Syst Co L, Qingdao 266510, Peoples R China; [Xu, Lei] Univ Tokyo, Inst Ind Sci, Tokyo, Japan; [Ji, Yuanhui] Southeast Univ, Sch Chem &amp; Chem Engn, Jiangsu Prov Hitech Key Lab Biomed Res, Nanjing 211189, Peoples R China</t>
  </si>
  <si>
    <t>Nanjing Tech University; Nanjing Tech University; Tsinghua University; University of Tokyo; Southeast University - China</t>
  </si>
  <si>
    <t>Zhuang, CQ (corresponding author), Nanjing Tech Univ, Coll Urban Construct, Nanjing 210009, Peoples R China.</t>
  </si>
  <si>
    <t>zhuangcq@njtech.edu.cn</t>
  </si>
  <si>
    <t>10.1007/s12273-025-1293-z</t>
  </si>
  <si>
    <t>WOS:001501018000001</t>
  </si>
  <si>
    <t>Chen, JY; Jing, YL; Yang, XD; Hao, B</t>
  </si>
  <si>
    <t>Chen, Jiayang; Jing, Yiling; Yang, Xudong; Hao, Bin</t>
  </si>
  <si>
    <t>Research on the design optimization of energy storage system in Photovoltaic Energy storage Direct current and Flexibility (PEDF) system in buildings</t>
  </si>
  <si>
    <t>building photovoltaic; building energy storage; cooling storage; flexible building</t>
  </si>
  <si>
    <t>LEARNING-BASED OPTIMIZATION; BATTERY SYSTEMS; OPERATION; STRATEGIES</t>
  </si>
  <si>
    <t>The Photovoltaic Energy storage Direct current and Flexibility (PEDF) system has attracted significant attention in recent years. In this system, charging piles, air conditioning, building energy storage, and photovoltaic are connected to the direct current bus, with flexible adjustment capabilities. The increasing presence of flexible loads complicates the calculation of electrical balance in buildings. Building energy storage is a crucial component of the PEDF system, and its storage capacity (kWh) and power (kW) are parameters that need to be determined during the design phase. This study focuses on the energy storage system of PEDF, considering both electricity and cooling storage methods, with the goal of optimizing capacity and power for economy. A dual-layer optimization model of operational -design optimization is proposed. The operational optimization model enables the calculation of power supply and demand balance involving multiple flexible loads over the entire year of 8760 hours. In the design optimization model, equipment investment is considered based on the operational optimization model, and particle swarm optimization (PSO) is employed to achieve the design optimization of energy storage system. This study uses a Shenzhen office building as a case study, demonstrating that the installation of battery and cooling storage facility can enhance system economic efficiency, while the scale of photovoltaic installation and time-of-use tariff significantly impact the design of building energy storage solutions.</t>
  </si>
  <si>
    <t>[Chen, Jiayang; Hao, Bin] Shenzhen Inst Bldg Res Co Ltd, Shenzhen 518049, Peoples R China; [Chen, Jiayang; Jing, Yiling; Yang, Xudong] Tsinghua Univ, Sch Architecture, Beijing 100084, Peoples R China</t>
  </si>
  <si>
    <t>Shenzhen Institute of Building Research Co Ltd; Tsinghua University</t>
  </si>
  <si>
    <t>Hao, B (corresponding author), Shenzhen Inst Bldg Res Co Ltd, Shenzhen 518049, Peoples R China.</t>
  </si>
  <si>
    <t>haobin@ibrcn.com</t>
  </si>
  <si>
    <t>10.1007/s12273-025-1302-2</t>
  </si>
  <si>
    <t>WOS:001503444700001</t>
  </si>
  <si>
    <t>Zhang, S; He, EZ; Liu, JW; Li, D; Wang, GP; Si, WR; Kuai, X</t>
  </si>
  <si>
    <t>Zhang, Shu; He, Enzhi; Liu, Jianwei; Li, Dong; Wang, Guangpeng; Si, Weirong; Kuai, Xiang</t>
  </si>
  <si>
    <t>Thermal performance evaluation of an innovative window incorporated with nano-enhanced PCM, reversible design and ventilation</t>
  </si>
  <si>
    <t>thermal comfort; energy efficiency; PCM window; ventilation; reversible design</t>
  </si>
  <si>
    <t>PHASE-CHANGE MATERIAL; OPTICAL-PROPERTIES; ENERGY PERFORMANCE; WALL; BEHAVIOR; OPTIMIZATION; NANOFLUIDS; SYSTEM; MODEL; ROOF</t>
  </si>
  <si>
    <t>PCM windows are regarded as promising translucent building envelopes due to their ability to store solar heat and enhance thermal comfort. However, limitations in thermal insulation, phase transition rate, and climate adaptability hinder their further development. Hence, a novel triple-glazed window integrated with nano-enhanced PCM, reversible design and ventilation (NPRVTW) is proposed, while its dynamic photothermal transfer model is developed. Based on simulation results for the application in Guilin and Daqing, China, the thermal comfort and energy efficiency of NPRVTW are evaluated across different seasons and climates. The multi-technology coupling mechanisms are also discussed through comparisons with four other window configurations. The influences of physical properties, phase change temperature, and thickness of NPCM, as well as ventilation volume and strategy, are analyzed. The results show that adding nanoparticles to paraffin enhances solar absorption and accelerates phase change. Exhaust air in summer aids in heat removal and PCM solidification, while intake air in winter utilizes solar energy to preheat fresh air and heat the space. The reversible design regulates the direction of discharged heat to meet seasonal thermal demands. It can be concluded that NPRVTW exhibits excellent climate adaptability. In Guilin, the energy-saving rates in summer and winter are 41.84% and 55.62%, respectively, with NPCM4, phase change temperature of 27-29 degrees C, a thickness of 20 mm, and a ventilation rate of 0.5 m/s recommended.</t>
  </si>
  <si>
    <t>[Zhang, Shu; He, Enzhi; Liu, Jianwei; Wang, Guangpeng; Si, Weirong; Kuai, Xiang] Guilin Univ Elect Technol, Sch Architecture &amp; Transportat Engn, Guilin 541200, Peoples R China; [Li, Dong] Northeast Petr Univ, Sch Architecture &amp; Civil Engn, Fazhan Lu St, Daqing 163318, Peoples R China</t>
  </si>
  <si>
    <t>Guilin University of Electronic Technology; Northeast Petroleum University</t>
  </si>
  <si>
    <t>Wang, GP (corresponding author), Guilin Univ Elect Technol, Sch Architecture &amp; Transportat Engn, Guilin 541200, Peoples R China.</t>
  </si>
  <si>
    <t>w111197916@guet.edu.cn</t>
  </si>
  <si>
    <t>10.1007/s12273-025-1256-4</t>
  </si>
  <si>
    <t>WOS:001501038700001</t>
  </si>
  <si>
    <t>Zhang, JX; Liu, JJ; Liu, JY; Xu, LH; Wen, SH; Liu, SM</t>
  </si>
  <si>
    <t>Zhang, Jiaxin; Liu, Junjie; Liu, Jinyu; Xu, Longhui; Wen, Shihao; Liu, Sumei</t>
  </si>
  <si>
    <t>The targeted removal effect and mechanism analysis of two-way active chilled beam induced purification on virus in wards</t>
  </si>
  <si>
    <t>targeted aerosol removal; active chilled beam system; hospital ward; rapid identification; energy savings; COVID-19</t>
  </si>
  <si>
    <t>VENTILATION PERFORMANCE; TRANSPORT; SYSTEMS; COVID-19; EXPOSURE</t>
  </si>
  <si>
    <t>During the COVID-19 pandemic, hospital wards served as crucial medical infrastructure for patient treatment. The existing ventilation systems in hospital wards are often criticized for their high energy consumption and poor pollutant removal. This study introduces an improved active chilled beam (ACB) system for wards. This system integrates an ionization module with the ACB, utilizing the ACB's supply air jet and exhaust air convergence to create a directed airflow within the ward, effectively purifying aerosols. First, a validated CFD model is employed to simulate airflow generated by the ACB and the movement of aerosols exhaled by patients. Particle image velocimetry (PIV) is then used to visualize the indoor directed airflow created by the ACB. The targeted aerosol removal performance of the ACB system is quantitatively described using the TARGETING index. To address the cumbersome calculation of the TARGETING index, a qualitative rapid identification method for targeted ventilation is proposed. Finally, the purification effect of the ACB system in multipatient wards was optimized through theoretical analysis. Compared with existing systems, the improved ACB system enhances the targeted aerosol removal performance by 41.9%-62.5%, and achieves energy savings of 33.3%. In multipatient wards, the ACB system can reduce the cross-infection risk by 80.5%-91.0%.</t>
  </si>
  <si>
    <t>[Zhang, Jiaxin; Liu, Junjie; Liu, Jinyu; Xu, Longhui; Wen, Shihao; Liu, Sumei] Tianjin Univ, Sch Environm Sci &amp; Engn, Tianjin Key Lab Indoor Air Environm Qual Control, Tianjin 300072, Peoples R China; [Liu, Jinyu] Shandong Jiaotong Univ, Sch Automot Engn, Jinan 250300, Peoples R China</t>
  </si>
  <si>
    <t>Tianjin University; Shandong Jiaotong University</t>
  </si>
  <si>
    <t>Liu, SM (corresponding author), Tianjin Univ, Sch Environm Sci &amp; Engn, Tianjin Key Lab Indoor Air Environm Qual Control, Tianjin 300072, Peoples R China.</t>
  </si>
  <si>
    <t>smliu@tju.edu.cn</t>
  </si>
  <si>
    <t>10.1007/s12273-025-1294-y</t>
  </si>
  <si>
    <t>MAY 2025</t>
  </si>
  <si>
    <t>WOS:001499159300001</t>
  </si>
  <si>
    <t>Li, HP; Wang, L; Li, SH; Peng, JQ</t>
  </si>
  <si>
    <t>Li, Houpei; Wang, Lei; Li, Sihui; Peng, Jinqing</t>
  </si>
  <si>
    <t>Seasonal variation of the photovoltaic driven air conditioner with and without temperature range control</t>
  </si>
  <si>
    <t>photovoltaic driven air conditioning; air conditioner; photovoltaics; building integrated photovoltaics; weather conditions</t>
  </si>
  <si>
    <t>PERFORMANCE ANALYSIS; ENERGY; SYSTEM; BUILDINGS</t>
  </si>
  <si>
    <t>Photovoltaic driven air conditioning (PVAC) systems offer a promising solution for reducing grid dependency and carbon emissions in the building sector by coupling solar energy generation with cooling demand. This study investigated the performance of PVAC systems under seasonal variations, comparing two control strategies: fixed temperature control and dynamic control with a thermal comfort temperature range. Using experimental validation and simulation modeling, the research assessed the impacts of seasonal conditions on key performance evaluators, including self-consumption ratio, self-sufficiency ratio, and indoor thermal comfort. The results revealed that dynamic control significantly improved the consumption by aligning cooling demand with available PV power, thereby reducing reliance on grid electricity. Dynamic control also expanded the operational flexibility of PVAC systems, allowing for efficient performance under a broader range of outdoor temperatures and solar irradiance levels. However, dynamic control decreased sufficiency due to increased cooling demand with a lower indoor temperature. The grouping of weather conditions highlighted the potential for more precise control strategies. For instance, adjusting indoor temperature settings in scenarios with low PV generation could reduce grid reliance without compromising thermal comfort. These findings emphasized the need for adjusting control strategies to optimize energy matching and maintain occupant comfort across varying seasonal conditions.</t>
  </si>
  <si>
    <t>[Li, Houpei; Wang, Lei; Peng, Jinqing] Hunan Univ, Coll Civil Engn, Changsha 410082, Peoples R China; [Li, Houpei; Wang, Lei; Peng, Jinqing] Hunan Univ, Key Lab Bldg Safety &amp; Energy Efficiency, Minist Educ, Changsha, Peoples R China; [Li, Sihui] Changsha Univ Sci &amp; Technol, Coll Energy &amp; Power Engn, Changsha 410114, Peoples R China</t>
  </si>
  <si>
    <t>Hunan University; Hunan University; Changsha University of Science &amp; Technology</t>
  </si>
  <si>
    <t>Peng, JQ (corresponding author), Hunan Univ, Coll Civil Engn, Changsha 410082, Peoples R China.;Peng, JQ (corresponding author), Hunan Univ, Key Lab Bldg Safety &amp; Energy Efficiency, Minist Educ, Changsha, Peoples R China.</t>
  </si>
  <si>
    <t>10.1007/s12273-025-1266-2</t>
  </si>
  <si>
    <t>WOS:001493359300001</t>
  </si>
  <si>
    <t>Qu, KC; Zhang, H; Zhou, X; Ferrando, M; Causone, F</t>
  </si>
  <si>
    <t>Qu, Kaichen; Zhang, Hong; Zhou, Xin; Ferrando, Martina; Causone, Francesco</t>
  </si>
  <si>
    <t>A model-based reinforcement learning framework for building heating management with branched rollout strategy and time-series prediction model</t>
  </si>
  <si>
    <t>building energy management; reinforcement learning; model-based learning; recursive prediction; time-series prediction model</t>
  </si>
  <si>
    <t>DEMAND RESPONSE</t>
  </si>
  <si>
    <t>Reinforcement learning (RL) has emerged as a promising approach for building energy management (BEM). However, most existing research focuses on model-free reinforcement learning (MFRL) approaches, which can encounter the learning challenge for heating, ventilation and air conditioning (HVAC) control due to extensive trial-and-error explorations and lengthy training times. To address this challenge, we propose a model-based reinforcement learning (MBRL) framework that incorporates a virtual environment to augment the agent's exploration. By leveraging the branched rollout strategy to generate short rollout predictions branched from the experience trajectory, the MBRL method mitigates compounding errors introduced by the time-series prediction model, enabling robust and efficient policy updates. Evaluated in an EnergyPlus testbed with real-world data verification, the proposed method demonstrates significant advantages: (1) RL-based controllers outperform the rule-based control (RBC) baseline after one training episode, (2) MBRL reduces training time by over 50% compared to MFRL while maintaining comparable control performance, and (3) an equal mix of real and synthetic data for MBRL training achieves an optimal trade-off between efficiency and control outcomes. This study contributes an efficient model-based training method for RL development in HVAC control, offering insights into advanced control strategies for BEM applications.</t>
  </si>
  <si>
    <t>[Qu, Kaichen; Zhang, Hong; Zhou, Xin] Southeast Univ, Sch Architecture, Si Pai Lou 2, Nanjing 210096, Peoples R China; [Ferrando, Martina; Causone, Francesco] Politecn Milan, Dept Energy, Via Lambruschini 4, I-20156 Milan, Italy</t>
  </si>
  <si>
    <t>Southeast University - China; Polytechnic University of Milan</t>
  </si>
  <si>
    <t>Zhang, H (corresponding author), Southeast Univ, Sch Architecture, Si Pai Lou 2, Nanjing 210096, Peoples R China.</t>
  </si>
  <si>
    <t>101002356@seu.edu.cn</t>
  </si>
  <si>
    <t>10.1007/s12273-025-1288-9</t>
  </si>
  <si>
    <t>WOS:001493361600001</t>
  </si>
  <si>
    <t>Li, WX; Mak, CM; Cai, CZ</t>
  </si>
  <si>
    <t>Li, Wenxin; Mak, Cheuk Ming; Cai, Chenzhi</t>
  </si>
  <si>
    <t>Numerical evaluation of the effect of twist wind on pedestrian comfort surrounding semi-open structures and influential factors under solar heating</t>
  </si>
  <si>
    <t>twist winds; arcade design; computation fluid dynamics; pedestrian comfort</t>
  </si>
  <si>
    <t>OUTDOOR THERMAL COMFORT; CFD SIMULATION; STREET CANYON; CITY BREATHABILITY; BOUNDARY-LAYER; ASPECT RATIO; OPEN SPACES; URBAN; LEVEL; FLOW</t>
  </si>
  <si>
    <t>Cities near mountainous terrain, such as Hong Kong, frequently encounter topography-induced twist wind. Twist wind profile (TWP) refers to the vertical variation of wind direction, distinguishing it from conventional wind profile (CWP), and exerting a significant influence on pedestrian wind and thermal comfort. The arcade design has been extensively employed in urban areas due to its capacity for enhancing pedestrian comfort; however, a comprehensive understanding of its performance under realistic solar radiation and the twist wind effect remains elusive. The paper aims to investigate the impact of twist winds on arcade design and analyze wind and thermal comfort by varying parameters such as elevation ratios, arcade width ratios, canyon width, street length and depth ratios (L/D), and asymmetric building heights under CWP and TWP. The steady Reynold-averaged Navier-Stokes model with standard k-epsilon models with discrete ordinate (DO) radiation were applied. The results demonstrate that the weakened downwash flow caused by the twist wind within the street canyon was insufficient to counteract the buoyancy-driven flow generated by solar radiation. This condition facilitated the escape of heated air from the lower levels of the street canyon, especially in step-down configurations, resulting in a physiological equivalent temperature (PET) value that was on average 1-2 degrees C lower under TWP compared to CWP. Increasing the arcade width may negatively impact thermal comfort under TWP. The cooling effect of twist winds was more pronounced in shorter street canyons, with the PET increasing by 2 degrees C under CWP and by 4 degrees C under TWP as the L/D increased from 1 to 10. The wind velocity in the downstream area decreased fivefold under TWP, whereas it remained relatively stable as the L/D increased from 1 to 10 under CWP.</t>
  </si>
  <si>
    <t>[Li, Wenxin; Mak, Cheuk Ming] Hong Kong Polytech Univ, Dept Bldg Environm &amp; Energy Engn, Hung Hom, Hong Kong, Peoples R China; [Cai, Chenzhi] Cent South Univ, Sch Civil Engn, Changsha, Hunan, Peoples R China</t>
  </si>
  <si>
    <t>Hong Kong Polytechnic University; Central South University</t>
  </si>
  <si>
    <t>Mak, CM (corresponding author), Hong Kong Polytech Univ, Dept Bldg Environm &amp; Energy Engn, Hung Hom, Hong Kong, Peoples R China.</t>
  </si>
  <si>
    <t>cheuk-ming.mak@polyu.edu.hk</t>
  </si>
  <si>
    <t>10.1007/s12273-025-1262-6</t>
  </si>
  <si>
    <t>WOS:001489533000001</t>
  </si>
  <si>
    <t>Schultz, C; Kamari, A</t>
  </si>
  <si>
    <t>Schultz, Carl; Kamari, Aliakbar</t>
  </si>
  <si>
    <t>Exploring the renovation design space: A new iterative approach based on scenario distance metrics and resampling strategies</t>
  </si>
  <si>
    <t>sustainable building renovation; iterative design; design space exploration; decision support systems (DSS); renovation domain model (NovaDM)</t>
  </si>
  <si>
    <t>LIFE-CYCLE COST; DECISION-SUPPORT; MULTIOBJECTIVE OPTIMIZATION; BUILDING RENOVATION; ENERGY; TOOL; REFURBISHMENT; SIMULATION; METHODOLOGY; SOFTWARE</t>
  </si>
  <si>
    <t>Supporting designers in making effective renovation decisions is urgently needed to address the ever-growing climate crisis. This requires developing tools that bring insight into the enormous set of design options at hand, where the efficacy of candidate renovation design options is evaluated using (potentially computationally expensive) simulations. Thus, a systematic, goal-driven design process is required that ensures design space diversity and coverage, while making careful and effective use of highly informative but time consuming performance simulations. To this end, we define twelve new concepts based on scenario (dis)similarity that give designers insight about pairs of scenarios, clusters of scenarios, and pairs of clusters, and apply these concepts in an iterative, goal-driven design process. We evaluate a software implementation of our design concept analyser using a real renovation case of a large residential building in Denmark.</t>
  </si>
  <si>
    <t>[Schultz, Carl; Kamari, Aliakbar] Aarhus Univ, DIGIT, Inge Lehmanns Gade 10, DK-8000 Aarhus C, Denmark; [Schultz, Carl] Aarhus Univ, Dept Elect &amp; Comp Engn, Inge Lehmanns Gade 10, DK-8000 Aarhus C, Denmark; [Kamari, Aliakbar] Aarhus Univ, Dept Civil &amp; Architectural Engn, Inge Lehmanns Gade 10, DK-8000 Aarhus C, Denmark</t>
  </si>
  <si>
    <t>Aarhus University; Aarhus University; Aarhus University</t>
  </si>
  <si>
    <t>Schultz, C (corresponding author), Aarhus Univ, DIGIT, Inge Lehmanns Gade 10, DK-8000 Aarhus C, Denmark.;Schultz, C (corresponding author), Aarhus Univ, Dept Elect &amp; Comp Engn, Inge Lehmanns Gade 10, DK-8000 Aarhus C, Denmark.</t>
  </si>
  <si>
    <t>cschultz@ece.au.dk</t>
  </si>
  <si>
    <t>10.1007/s12273-025-1267-1</t>
  </si>
  <si>
    <t>WOS:001489545200001</t>
  </si>
  <si>
    <t>Wang, H; Deng, MS; Wang, MY; Chi, YY; Tham, KW; Li, CH</t>
  </si>
  <si>
    <t>Wang, Han; Deng, Mengsi; Wang, Mingyuan; Chi, Youyan; Tham, Kwok Wai; Li, Chunhui</t>
  </si>
  <si>
    <t>BTEX pollution and health effects in a metro system</t>
  </si>
  <si>
    <t>metro system; BTEX; spatial and temporal distribution; health risk assessment; occupational exposure; sustainable strategies</t>
  </si>
  <si>
    <t>ORGANIC-COMPOUNDS VOCS; BUILT ENVIRONMENT; SUBWAY STATIONS; RISK; EXPOSURE; HYDROCARBONS; GUANGZHOU; SHANGHAI; MODES</t>
  </si>
  <si>
    <t>As an integral component of modern urban transportation, metro systems have significantly contributed to alleviating urban traffic congestion and reducing carbon emissions. However, concerns about air quality in its confined environment, particularly the pollution by BTEX (benzene, toluene, ethylbenzene, and xylene), are growing. This study takes the Chengdu metro system as a case to evaluate the concentrations of BTEX and their potential health impacts on the public. Sampling was conducted in metro stations, carriages, and tunnels. The study found that the BTEX pollution levels in the metro system were 7.85 +/- 3.03 mu g/m3 in summer and 8.44 +/- 3.38 mu g/m3 in autumn, with toluene and xylene being the highest concentrations. No significant differences were observed between the halls and platforms, interchanges and non-interchanges, off peak and evening peaks in carriages, or in-service and off-service in tunnels. However, seasonal variations were pronounced. Health risk assessments indicated that while non-cancer risks were negligible, cancer risks in both summer and autumn (excluding passengers) exceeded the acceptable threshold of 1 x 10-6, potentially posing health threats to long-term exposed populations, particularly metro workers. This study provides a scientific basis for air quality management within metro systems and highlights the need for regulatory bodies to pay further attention to air quality issues, promoting the formulation and implementation of relevant control measures to protect the health and safety of passengers and metro workers.</t>
  </si>
  <si>
    <t>[Wang, Han; Wang, Mingyuan] Zhengzhou Univ Sci &amp; Technol, Sch Vehicle &amp; Traff Engn, Zhengzhou 450065, Peoples R China; [Wang, Han; Wang, Mingyuan] Zhengzhou Key Lab Special Vehicle Power &amp; Control, Zhengzhou 450064, Peoples R China; [Wang, Han; Deng, Mengsi] Southwest Jiaotong Univ, Sch Mech Engn, Chengdu 610031, Peoples R China; [Chi, Youyan] Changchun Univ Architecture &amp; Civil Engn, Coll Urban Construct, Changchun 130607, Peoples R China; [Tham, Kwok Wai; Li, Chunhui] Natl Univ Singapore, Coll Design &amp; Engn, Singapore 117566, Singapore; [Li, Chunhui] Tongji Univ, Sch Mech Engn, Shanghai 201804, Peoples R China</t>
  </si>
  <si>
    <t>Southwest Jiaotong University; Changchun University of Architecture &amp; Civil Engineering; National University of Singapore; Tongji University</t>
  </si>
  <si>
    <t>Li, CH (corresponding author), Natl Univ Singapore, Coll Design &amp; Engn, Singapore 117566, Singapore.;Li, CH (corresponding author), Tongji Univ, Sch Mech Engn, Shanghai 201804, Peoples R China.</t>
  </si>
  <si>
    <t>lichunhui@tongji.edu.cn</t>
  </si>
  <si>
    <t>10.1007/s12273-025-1291-1</t>
  </si>
  <si>
    <t>WOS:001484608200001</t>
  </si>
  <si>
    <t>Lu, B; Xu, S; He, W; Hu, ZT; Hu, T</t>
  </si>
  <si>
    <t>Lu, Bin; Xu, Sai; He, Wei; Hu, Zhongting; Hu, Tong</t>
  </si>
  <si>
    <t>Numerical study of a novel bifacial photovoltaic wall combining thermochromic material and double layers PCM</t>
  </si>
  <si>
    <t>bifacial PV; thermochromic; double layers PCM; energy consumption</t>
  </si>
  <si>
    <t>A novel bifacial photovoltaic wall combining thermochromic material and double layers PCM (BPVW-TC+PCM) is proposed to passively regulate building heat gain and photovoltaic (PV) power generation through the dynamic color change properties of thermochromic glass and the latent heat storage capacity of the phase change material (PCM). Physical and numerical models of the composite wall system were developed, followed by numerical simulations to analyze indoor air temperature, PV power generation, and annual energy consumption in both ordinary and composite wall rooms. Additionally, optimization studies were conducted to determine the ideal phase change layer temperature and arrangement. The results indicate that this novel wall system significantly reduces indoor air temperature fluctuations and enhances PV power generation by approximately 16% in both summer and winter compared to conventional mono facial PV walls. The system achieves its lowest energy consumption when the high-temperature phase change layer is maintained at 28 degrees C and the low-temperature phase change layer at 18 degrees C, with both layers positioned on the interior side, resulting in an energy saving rate of 22.6%.</t>
  </si>
  <si>
    <t>[Lu, Bin; Xu, Sai; He, Wei; Hu, Zhongting; Hu, Tong] Hefei Univ Technol, Dept Bldg Environm &amp; Equipment, Hefei 230009, Peoples R China</t>
  </si>
  <si>
    <t>Hefei University of Technology</t>
  </si>
  <si>
    <t>He, W (corresponding author), Hefei Univ Technol, Dept Bldg Environm &amp; Equipment, Hefei 230009, Peoples R China.</t>
  </si>
  <si>
    <t>hwei@hfut.edu.cn</t>
  </si>
  <si>
    <t>10.1007/s12273-025-1289-8</t>
  </si>
  <si>
    <t>WOS:001483838600001</t>
  </si>
  <si>
    <t>Lyu, X; Luo, ZW; Essah, E; Shu, Z; Shao, L</t>
  </si>
  <si>
    <t>Lyu, Xiaowei; Luo, Zhiwen; Essah, Emmanuel; Shu, Zhan; Shao, Li</t>
  </si>
  <si>
    <t>Exposure-based smart ventilation and occupancy control for optimizing ventilation energy consumption and long-range airborne transmission of COVID-19 in school environments</t>
  </si>
  <si>
    <t>airborne transmission; building control; smart ventilation; intermittent occupancy</t>
  </si>
  <si>
    <t>MODEL-PREDICTIVE CONTROL; INDOOR ENVIRONMENTS; RISK; FRAMEWORK; STRATEGIES; SPREAD</t>
  </si>
  <si>
    <t>Mechanical ventilation is an effective measure to control indoor long-range airborne transmission of COVID-19, but it often leads to substantial energy expenditure. This study introduces a novel exposure-based smart ventilation and occupancy control strategy to reduce infection risk and save energy in school environments that are typically characterized by fixed occupants and long exposure time. This exposure-based approach allows the quanta concentration to vary over time rather than keeping it constantly below certain thresholds. This enables us to: (1) adjust ventilation and occupant schedule to facilitate passive cooling/heating potential in response to outdoor weather conditions; (2) consider the interaction between ventilation and occupant schedule to maximize their benefits in reducing infection risk and energy consumption. Taking a typical classroom as a base case, ventilation and occupant schedule are optimized individually and jointly through Genetic Algorithm, to control infection risk, minimize energy consumption, maintain thermal comfort, and promise sufficient schooling time. Our results show that the most energy-efficient strategy is the concurrent optimization of both occupant schedule and ventilation, achieving an energy reduction of up to similar to 60% compared to traditional constant ventilation methods. Solely optimizing occupant schedule is the least energy-efficient strategy, yielding an energy reduction ratio (over base case) of only half of the most efficient strategy. Our study reveals the possibility of optimizing occupant schedule and ventilation to balance building energy consumption and transmission control. The viability of these control strategies has been proven across various climate zones and seasons in China, highlighting their broad applicability.</t>
  </si>
  <si>
    <t>[Lyu, Xiaowei; Essah, Emmanuel; Shao, Li] Univ Reading, Sch Built Environm, Reading, England; [Luo, Zhiwen] Zhengzhou Univ, Sch Publ Hlth, Zhengzhou, Peoples R China; [Luo, Zhiwen] Cardiff Univ, Welsh Sch Architecture, Cardiff, Wales; [Shu, Zhan] Univ Alberta, Dept Elect &amp; Comp Engn, Edmonton, AB, Canada</t>
  </si>
  <si>
    <t>University of Reading; Zhengzhou University; Cardiff University; University of Alberta</t>
  </si>
  <si>
    <t>Luo, ZW (corresponding author), Zhengzhou Univ, Sch Publ Hlth, Zhengzhou, Peoples R China.;Luo, ZW (corresponding author), Cardiff Univ, Welsh Sch Architecture, Cardiff, Wales.</t>
  </si>
  <si>
    <t>LuoZ18@Cardiff.ac.uk</t>
  </si>
  <si>
    <t>10.1007/s12273-025-1292-0</t>
  </si>
  <si>
    <t>WOS:001484410000001</t>
  </si>
  <si>
    <t>Zhang, BY; Wang, JM; Shangguan, LY; Rezgui, Y; Ghoroghi, A; Cao, XM; Song, CZ; Ding, ML; Zhao, TY</t>
  </si>
  <si>
    <t>Zhang, Boyan; Wang, Jiaming; Shangguan, Liuyang; Rezgui, Yacine; Ghoroghi, Ali; Cao, Ximing; Song, Chengzhe; Ding, Menglin; Zhao, Tianyi</t>
  </si>
  <si>
    <t>Analysis of HVAC sensor characteristics for operation and maintenance of the indoor environment: A case research on public building HVAC</t>
  </si>
  <si>
    <t>HVAC control sensor; time-domain; frequency-domain; sensor noise</t>
  </si>
  <si>
    <t>FAULT-DETECTION METHOD; KALMAN FILTER; PCA METHOD; SYSTEM; IDENTIFICATION; UNCERTAINTY; SIMULATION; EFFICIENCY</t>
  </si>
  <si>
    <t>Sensors are a crucial component in heating, ventilation, and air conditioning (HVAC) control systems, and the quality of them plays an important role in control accuracy. In the research of fault detection and control optimization, improving sensor data quality has inspiring potential in application. It has been largely limited to the application of signal processing methods in research focus, whereas a detailed analysis of the characteristics of signals from various sensors of the HVAC system has not been conducted. Therefore, this study analyzes the time-frequency domain characteristics of control sensors within HVAC systems through integrating the structural design and control logic of such systems. Additionally, the research examines the correlations between control sensors in HVAC systems. Based on statistical principles and the energy-mass dynamic laws of the equipment, this paper defines first-class (I) correlated sensors and second-class (II) correlated sensors. To sum up, the main contribution of this paper is conducting a fundamental study on the characteristics of control sensors within HVAC systems, providing theoretical reference for future research on HVAC system fault diagnosis and control optimization.</t>
  </si>
  <si>
    <t>[Zhang, Boyan; Wang, Jiaming; Zhao, Tianyi] Dalian Univ Technol, Inst Bldg Energy, Dept Civil Engn, Dalian, Peoples R China; [Rezgui, Yacine; Ghoroghi, Ali] Cardiff Univ, Sch Engn, Cardiff, Wales; [Cao, Ximing] North Univ China, Sch Instrument &amp; Elect, Taiyuan, Peoples R China; [Song, Chengzhe] Fudan Univ, Sch Informat Sci &amp; Technol, Shanghai, Peoples R China; [Ding, Menglin] Rhode Isl Sch Design, Landscape Architecture, Providence, RI 02903 USA; [Shangguan, Liuyang] Dalian Shenghe Automat Control Technol Co Ltd, Dalian, Peoples R China</t>
  </si>
  <si>
    <t>Dalian University of Technology; Cardiff University; North University of China; Fudan University; Rhode Island School of Design</t>
  </si>
  <si>
    <t>Zhao, TY (corresponding author), Dalian Univ Technol, Inst Bldg Energy, Dept Civil Engn, Dalian, Peoples R China.</t>
  </si>
  <si>
    <t>10.1007/s12273-025-1254-6</t>
  </si>
  <si>
    <t>WOS:001497380700014</t>
  </si>
  <si>
    <t>Liu, WW; Zhao, YY; Yang, XP; Lin, WB</t>
  </si>
  <si>
    <t>Liu, Weiwei; Zhao, Yingying; Yang, Xinpeng; Lin, Weibin</t>
  </si>
  <si>
    <t>Effects of high temperatures on the cognitive performance at a low-activity level: A quantitative model</t>
  </si>
  <si>
    <t>high temperature; cognitive performance; thermal comfort; low-activity</t>
  </si>
  <si>
    <t>THERMAL COMFORT; AIR-TEMPERATURE; QUALITY; RESPONSES; OXYGEN; HEAT; ENVIRONMENTS; VALIDATION; EXPOSURE; FATIGUE</t>
  </si>
  <si>
    <t>Experimental evidence suggests that high temperatures affect cognitive performance; however, there are limited quantitative models available to evaluate or predict this effect. In previous studies, the authors proposed a thermal stress comprehensive index (TSCI), which reflects the coupling of physiological and psychological parameters. Based on this, a comprehensive model of thermal stress and cognitive performance (TSCI-CP model) under high-temperature conditions was established, and its rationality for moderate activity intensity tasks was verified. The present study further investigated the applicability of the TSCI-CP model for low activity intensity tasks. By integrating experimental data from a series of climate chamber experiments conducted at five temperatures (26, 30, 33, 37, and 39 degrees C) and two humidity levels (50% and 70%), the relationship between physiological and psychological parameters and the cognitive performance of 104 subjects at a low-activity level (sitting) was analyzed. Subsequently, the TSCI-CP model for low activity intensity tasks was established. The results of the goodness of fit and deviation analysis confirmed the validity of the model. Based on the TSCI-CP model, a new perspective on the relationship between thermal stress and cognitive performance under high-temperature conditions was proposed: the speed of cognitive tests exhibited a U-shaped trend, while the accuracy followed an inverted U-shaped trend. This study offers a theoretical foundation for ensuring the safety and security of low activity workers in high-temperature environments.</t>
  </si>
  <si>
    <t>[Liu, Weiwei; Zhao, Yingying; Yang, Xinpeng; Lin, Weibin] Cent South Univ, Sch Architecture &amp; Art, Changsha 410083, Peoples R China; [Liu, Weiwei; Lin, Weibin] Hunan Prov Key Lab Low Carbon Hlth Bldg, Changsha 410083, Peoples R China</t>
  </si>
  <si>
    <t>Liu, WW (corresponding author), Cent South Univ, Sch Architecture &amp; Art, Changsha 410083, Peoples R China.;Liu, WW (corresponding author), Hunan Prov Key Lab Low Carbon Hlth Bldg, Changsha 410083, Peoples R China.</t>
  </si>
  <si>
    <t>wliu@csu.edu.cn</t>
  </si>
  <si>
    <t>10.1007/s12273-025-1286-y</t>
  </si>
  <si>
    <t>APR 2025</t>
  </si>
  <si>
    <t>WOS:001479546900001</t>
  </si>
  <si>
    <t>Ran, Y; Wang, ZX; Li, YX; Xiao, F</t>
  </si>
  <si>
    <t>Ran, Yi; Wang, Zixuan; Li, Yanxue; Xiao, Fu</t>
  </si>
  <si>
    <t>Performance evaluation of physical consistency approach for optimizing residential space heating system in cold snap conditions</t>
  </si>
  <si>
    <t>physical consistency; thermal dynamic models; deep reinforcement learning; energy management performance; cold snap event</t>
  </si>
  <si>
    <t>MODEL-PREDICTIVE CONTROL; THERMAL MASS; ENERGY; FLEXIBILITY; MANAGEMENT; BUILDINGS; FRAMEWORK; ENVELOPE</t>
  </si>
  <si>
    <t>Reliable and efficient modeling of residential space heating systems is crucial for optimizing building energy usage, especially during extreme cold snap events. Traditional white-box models require significant expertise and time-intensive parameterization, whereas simplified grey-box resistance-capacitance (RC) models often suffer from limited accuracy and frequent recalibrations. Although purely data-driven methods show promise in predictive performance, they lack scalability and interpretability. To address these limitations, the study proposes a physically consistent neural network (PCNN) that integrates fundamental heat transfer principles with data-driven learning. This study compares the performance of grey-box RC models, conventional data-driven models, and the proposed PCNN within a deep reinforcement learning (DRL) framework for space heating control. The evaluation focuses on each model's predictive accuracy under severe cold snap conditions, as well as their impact on indoor comfort, grid imports, and photovoltaic (PV) utilization. Results show that the PCNN achieves up to a 93.9% reduction in mean absolute error (MAE) prediction errors compared to the RC model and exhibits greater robustness to abrupt temperature drops. When incorporated into DRL controllers, the PCNN enhances indoor temperature stability, increases on-site PV consumption, and reduces energy dependence. Additionally, the PCNN can be effectively trained with smaller datasets without sacrificing accuracy. Although the PCNN model demonstrates higher computational overhead during DRL optimization, its moderate complexity is offset by its enhanced reliability. Notably, the PCNN outperforms all other models in continuous control scenarios, maintaining a mean indoor temperature of 21.9 degrees C with a minimal deviation of -0.1 degrees C, reaching a 69.2% PV consumption rate, lowering total grid imports by approximately 37%, and reducing overall energy costs by nearly 48% compared to measured results.</t>
  </si>
  <si>
    <t>[Ran, Yi; Li, Yanxue] Qingdao Univ Technol, Innovat Inst Sustainable Maritime Architecture Res, Qingdao, Peoples R China; [Wang, Zixuan; Li, Yanxue; Xiao, Fu] Hong Kong Polytech Univ, Dept Bldg Environm &amp; Energy Engn, Hong Kong, Peoples R China</t>
  </si>
  <si>
    <t>Qingdao University of Technology; Hong Kong Polytechnic University</t>
  </si>
  <si>
    <t>Li, YX (corresponding author), Qingdao Univ Technol, Innovat Inst Sustainable Maritime Architecture Res, Qingdao, Peoples R China.;Li, YX (corresponding author), Hong Kong Polytech Univ, Dept Bldg Environm &amp; Energy Engn, Hong Kong, Peoples R China.</t>
  </si>
  <si>
    <t>10.1007/s12273-025-1253-7</t>
  </si>
  <si>
    <t>WOS:001479069600001</t>
  </si>
  <si>
    <t>Shen, PY</t>
  </si>
  <si>
    <t>Shen, Pengyuan</t>
  </si>
  <si>
    <t>Building and urban simulation under future climate: A novel statistical downscaling method for future hourly weather data generation</t>
  </si>
  <si>
    <t>building simulation; climate change; statistical downscaling; quantile mapping</t>
  </si>
  <si>
    <t>CHANGE IMPACTS; WIND-SPEED; MODEL; PRECIPITATION; DISTRIBUTIONS</t>
  </si>
  <si>
    <t>Climate change presents a major threat to the built environment and therefore requires reliable future climate data for building performance simulation (BPS). The implementation of advanced statistical downscaling methods remains difficult in BPS studies because specific historical weather data and complex implementation procedures are usually requested. The current statistical downscaling methods that are frequently used in BPS analysis were rarely validated against measurements to see if ongoing climate change process and weather extremes can be represented. This paper presents a new Distribution Adjusted Temporal Mapping (DATM) technique for downscaling future hourly weather data from the monthly GCM (Global Climate Model) data with Typical Meteorological Year (TMY) data being the baseline. The proposed method involves fitting probability distributions to TMY data for each climate variable, modifying these distributions according to the projected monthly changes from GCMs, and then mapping the future hourly weather data from the adjusted distributions. DATM is compared with the morphing technique for various climate variables and locations, and is validated against ten years onsite measured hourly weather data from 2015 to 2024. The outcomes reveal that DATM outperforms the morphing method in temperature downscaling in terms of reproducing climate variabilities and extreme events. For relative humidity and wind speed, DATM is slightly better in capturing the full range of variables even though both methods have their limitations. For solar radiation, DATM can reflect realistic peak solar radiation prediction in future climate downscaling. It also shows better performance in capturing the changes in temperature variability and extremes that are essential for the overall building resilience analysis. The results of both methods depend on climate zones and variables, which underlines the necessity of considering regional factors in climate data preprocessing. With climate change affecting the built environment, the proposed method in this research offers BPS researchers a more reliable way of evaluating future building performance under future emission scenarios.</t>
  </si>
  <si>
    <t>[Shen, Pengyuan] Tsinghua Univ, Inst Future Human Habitats, Shenzhen Int Grad Sch, Shenzhen 518055, Peoples R China</t>
  </si>
  <si>
    <t>Shen, PY (corresponding author), Tsinghua Univ, Inst Future Human Habitats, Shenzhen Int Grad Sch, Shenzhen 518055, Peoples R China.</t>
  </si>
  <si>
    <t>Pengyuan_pub@163.com</t>
  </si>
  <si>
    <t>10.1007/s12273-025-1277-z</t>
  </si>
  <si>
    <t>WOS:001489864600001</t>
  </si>
  <si>
    <t>Su, WG; Gu, L; Kang, RG; Kokogiannakis, G; Gao, LY; Wang, L; Du, DF</t>
  </si>
  <si>
    <t>Su, Weiguang; Gu, Long; Kang, Ruigeng; Kokogiannakis, Georgios; Gao, Liying; Wang, Li; Du, Dengfeng</t>
  </si>
  <si>
    <t>Experimental and simulation analysis of a temperature-adaptive radiative cooler with phase change material cover</t>
  </si>
  <si>
    <t>temperature adaptive switch cover; phase change material; radiative cooling; experiment; numerical model; simulation</t>
  </si>
  <si>
    <t>Passive daytime radiative cooling technology has demonstrated energy-saving potential during the cooling season in buildings. To address the challenge of extra heat loss during the heating season, a temperature-adaptive radiative cooler (TARC) was developed with a phase change material (PCM) cover and a multilayer daytime radiative cooler (DRC). During a warm month when the ambient temperature exceeded 20 degrees C, the TARC system demonstrated cooling effects as static DRC, and the TARC and DRC achieved average daytime cooling temperatures of 2.5 degrees C and 4.5 degrees C, respectively. However, during a colder period in December, TARC achieved an average temperature in the cooling space higher than the ambient temperature during the daytime due to the PCM cover being able to switch off infrared radiation from DRC and absorb solar radiation. To maximize energy savings in cooling and heating seasons, we established numerical models for the optimization of PCM cover and TARC. The simulation results showed that the optimized TARC could achieve a daily average temperature drop of 4.1 degrees C on a hot day and a temperature increase of 1.0 degrees C on a cold day under the same climatic conditions as the experiments. Further simulations highlight the potential of TARC systems for cross-seasonal applications.</t>
  </si>
  <si>
    <t>[Su, Weiguang; Gu, Long; Kang, Ruigeng; Gao, Liying; Wang, Li] Qilu Univ Technol, Shandong Acad Sci, Sch Mech Engn, Jinan 250353, Peoples R China; [Su, Weiguang; Gu, Long; Kang, Ruigeng; Gao, Liying; Wang, Li] Shandong Inst Mech Design &amp; Res, Jinan 250031, Peoples R China; [Kokogiannakis, Georgios] Univ Wollongong, Sustainable Bldg Res Ctr, Wollongong, Australia; [Du, Dengfeng] Univ Nottingham Ningbo China, Dept Architecture &amp; Built Environm, Ningbo 315100, Peoples R China</t>
  </si>
  <si>
    <t>Qilu University of Technology; University of Wollongong; University of Nottingham Ningbo China</t>
  </si>
  <si>
    <t>Su, WG (corresponding author), Qilu Univ Technol, Shandong Acad Sci, Sch Mech Engn, Jinan 250353, Peoples R China.;Su, WG (corresponding author), Shandong Inst Mech Design &amp; Res, Jinan 250031, Peoples R China.;Du, DF (corresponding author), Univ Nottingham Ningbo China, Dept Architecture &amp; Built Environm, Ningbo 315100, Peoples R China.</t>
  </si>
  <si>
    <t>weiguang.su@qlu.edu.cn; Dengfeng.Du@nottingham.edu.cn</t>
  </si>
  <si>
    <t>10.1007/s12273-025-1282-2</t>
  </si>
  <si>
    <t>WOS:001477735500001</t>
  </si>
  <si>
    <t>Wu, YF; Li, SY; Li, YH; Sun, HL; Lin, BR; Liu, XH; Duan, MF; Zhou, ZQ</t>
  </si>
  <si>
    <t>Wu, Yifan; Li, Shiying; Li, Yihui; Sun, Hongli; Lin, Borong; Liu, Xiaohua; Duan, Mengfan; Zhou, Ziqian</t>
  </si>
  <si>
    <t>A novel convective-radiant personalized environmental control system for intermittent heating demand</t>
  </si>
  <si>
    <t>intermittent heating; personal comfort system; heating equipment; radiant heating; office building</t>
  </si>
  <si>
    <t>PERFORMANCE EVALUATION; THERMAL COMFORT</t>
  </si>
  <si>
    <t>Building energy consumption is mainly influenced by thermal load, equipment efficiency, service space, and operating time. While extensive research has focused on reducing load and improving efficiency, significant energy-saving potential remains in optimizing time and space of usage. This study proposes a novel convective-radiant desktop-based terminal that integrates personalized environmental control system with convective-radiant terminals, enabling part-time, localized-space operations to enhance energy savings. It includes a discussion on the structural design of the device and experimental analysis of its local environmental control and intermittent operation. The design incorporates a convective heat exchanger and radiant panel embedded in a height-adjustable desktop. Experimental results showed that the combination of the radiant panel and air outlet beneath the desktop accumulates heat in this area during heating, creating a cool head, warm feet thermal comfort effect. The maximum vertical temperature difference was 0.7 degrees C in radiation mode. For intermittent operation, the temperature response matching coefficient (TRMC) of the proposed terminal was 3.4 times that of floor heating and 2.1 times that of fan coil units, indicating superior performance. Besides, this novel terminal provides effective thermal comfort in both sitting and standing positions, offering potential energy savings in open-plan offices. By extending the room temperature setpoint to 16-18 degrees C in winter, the terminal can reduce energy consumption by 3.64%-12.52%. These findings provide a reference for personalized environmental control systems and intermittent heating strategies.</t>
  </si>
  <si>
    <t>[Wu, Yifan; Li, Shiying; Li, Yihui; Lin, Borong; Liu, Xiaohua; Zhou, Ziqian] Tsinghua Univ, Dept Bldg Sci, Beijing 100084, Peoples R China; [Sun, Hongli] Sichuan Univ, Coll Architecture &amp; Environm, Chengdu 610065, Peoples R China; [Duan, Mengfan] Southeast Univ, Sch Energy &amp; Environm, Nanjing 211189, Peoples R China; [Wu, Yifan; Li, Shiying; Li, Yihui; Sun, Hongli; Lin, Borong; Duan, Mengfan; Zhou, Ziqian] Tsinghua Univ, Key Lab Eco Planning &amp; Green Bldg, Minist Educ, Beijing 100084, Peoples R China</t>
  </si>
  <si>
    <t>Tsinghua University; Sichuan University; Southeast University - China; Tsinghua University</t>
  </si>
  <si>
    <t>Lin, BR (corresponding author), Tsinghua Univ, Dept Bldg Sci, Beijing 100084, Peoples R China.;Lin, BR (corresponding author), Tsinghua Univ, Key Lab Eco Planning &amp; Green Bldg, Minist Educ, Beijing 100084, Peoples R China.</t>
  </si>
  <si>
    <t>10.1007/s12273-025-1270-6</t>
  </si>
  <si>
    <t>WOS:001477669500001</t>
  </si>
  <si>
    <t>Xie, ZW; Li, DF; Long, BY; Xiao, YM; Wu, HJ</t>
  </si>
  <si>
    <t>Xie, Zhuwei; Li, Dingfu; Long, Biying; Xiao, Yimin; Wu, Huijun</t>
  </si>
  <si>
    <t>Dust control performance of innovative arc device for metro system construction based on orthogonal experiment</t>
  </si>
  <si>
    <t>metro; dust pollution; arc device; forced ventilation; orthogonal experiment</t>
  </si>
  <si>
    <t>INSTALLATION POSITION; MINE; POLLUTION; VENTILATION; FACES</t>
  </si>
  <si>
    <t>Metro systems play a crucial role in enhancing the urban economy, but the serious dust pollution during its construction poses a significant threat to the health of workers. Widely used for dust control in metro systems, the current forced ventilation technology is characterized by low dust control efficiency. In this study, an innovative arc device with efficient dust control and convenient application was proposed based on the forced ventilation. Subsequently, the orthogonal experimental method was adopted to explore the effects of air supply outlet position (L), air supply volume (Q), and air supply mode (M) on the airflow-dust distribution characteristics. The results indicated that compared with the traditional forced ventilation, the application of arc device can shorten the safe entry time after blasting operations by 9.9%-32.1% within the air supply volume of 804-1876 m3/min, effectively improving the construction efficiency and reducing the construction costs. In other words, the arc device can achieve the same dust control requirements with a smaller air supply volume, which improves the engineering applicability of forced ventilation in long-distance tunnel excavation while reducing ventilation energy consumption. Furthermore, the theoretical optimal combination scheme (L = 35 m, Q = 1876 m3/min, M = arc device) composed of the optimal levels of three factors achieved a 13% improvement in dust control compared to the experimental optimal combination scheme determined by the minimum safe entry time. This study can provide new strategies for improving the dust control performance of forced ventilation used in metro system construction.</t>
  </si>
  <si>
    <t>[Xie, Zhuwei; Wu, Huijun] Guangzhou Univ, Sch Civil Engn &amp; Transportat, Guangzhou 510006, Peoples R China; [Li, Dingfu] China Coal Technol &amp; Engn Grp, Chongqing Res Inst, Chongqing 40037, Peoples R China; [Long, Biying] Guangdong Ocean Univ, Coll Ocean Engn &amp; Energy, Zhanjiang 524005, Peoples R China; [Xiao, Yimin] Chongqing Univ, Coll Civil Engn, Chongqing 400045, Peoples R China</t>
  </si>
  <si>
    <t>Guangzhou University; China Coal Technology Engineering Group; Guangdong Ocean University; Chongqing University</t>
  </si>
  <si>
    <t>10.1007/s12273-025-1285-z</t>
  </si>
  <si>
    <t>WOS:001489880900001</t>
  </si>
  <si>
    <t>Lu, ZC; Di, YQ; Di, HY; Li, XP; Chen, ZY; Zhao, C; Gao, YF</t>
  </si>
  <si>
    <t>Lu, Zichen; Di, Yanqiang; Di, Haiyan; Li, Xiaoping; Chen, Zhenyu; Zhao, Chen; Gao, Yafeng</t>
  </si>
  <si>
    <t>Optimization of data center thermal management performance under failure mode of rack-level heat pipe backplane system</t>
  </si>
  <si>
    <t>data center; heat pipe backplate system; hotspots; fault tolerance</t>
  </si>
  <si>
    <t>To address localized hotspot issues arising from traditional cooling methods in high-power-density data centers and to ensure a stable thermal environment, this study developed a numerical model of a rack equipped with a heat pipe backplane, validated through experimental data. The study evaluated the thermal management performance and fault tolerance of the heat pipe backplane system for data centers under different load rates (60%, 100%) and failure modes (single rack, multiple racks). Results indicate that under a 60% load rate, the rack inlet temperature remained stable between 23.4 and 25.1 degrees C, while server outlet temperatures ranged from 27.3 to 32.1 degrees C. In the event of a single rack fan group failure, increasing the airflow of adjacent fans by 60% reduced the average rack outlet temperature to below 26.4 degrees C. For multiple rack backplane system failures, maintaining appropriate spacing between failed racks kept the overall room temperature below 27 degrees C, thereby preventing localized hotspots. However, simultaneous failures of adjacent racks increased the maximum inlet temperature to 27.4 degrees C, heightening hotspot risks. These findings demonstrate that heat pipe backplane systems offer significant advantages in optimizing internal rack airflow organization, mitigating hotspot risks, and enhancing fault tolerance, thereby providing crucial theoretical support for the design and optimization of thermal management strategies in data center environments.</t>
  </si>
  <si>
    <t>[Lu, Zichen; Di, Yanqiang; Di, Haiyan; Li, Xiaoping; Zhao, Chen] China Acad Bldg Res, Beijing 100013, Peoples R China; [Di, Yanqiang; Chen, Zhenyu; Gao, Yafeng] Chongqing Univ, Chongqing 400044, Peoples R China</t>
  </si>
  <si>
    <t>Chongqing University</t>
  </si>
  <si>
    <t>Di, YQ (corresponding author), China Acad Bldg Res, Beijing 100013, Peoples R China.;Di, YQ (corresponding author), Chongqing Univ, Chongqing 400044, Peoples R China.</t>
  </si>
  <si>
    <t>diyanqiang@cabr.com.cn</t>
  </si>
  <si>
    <t>10.1007/s12273-025-1271-5</t>
  </si>
  <si>
    <t>WOS:001476163500001</t>
  </si>
  <si>
    <t>Zhang, H; Hu, Z; Zheng, R; Wan, XF; Chen, Q; Shi, YR; Fan, JT</t>
  </si>
  <si>
    <t>Zhang, Hui; Hu, Zhuo; Zheng, Rong; Wan, Xianfu; Chen, Qing; Shi, Yunrui; Fan, Jintu</t>
  </si>
  <si>
    <t>A new model for predicting the clothing overall and local thermal insulations in different postures</t>
  </si>
  <si>
    <t>thermal resistance model; clothing insulation; different postures; heat transfer</t>
  </si>
  <si>
    <t>AIR-GAP THICKNESS; HEAT-TRANSFER COEFFICIENTS; CONTACT AREA; BODY MOVEMENT; GARMENT FIT; WIND; RESISTANCE; SIMULATION; SYSTEM</t>
  </si>
  <si>
    <t>Clothing plays a crucial role in determining human thermal comfort. However, most existing models of clothing thermal resistance primarily focus on predicting the overall and local thermal resistance in a standing posture. A few models can predict the overall thermal resistance in a sitting posture, but they do not account for local thermal resistance. Therefore, in this study, a mathematical model to predict the overall and local thermal resistance of clothing under various body postures is presented. The geometric models of the human body and clothing were constructed using three-dimensional virtual simulation technology to determine the geometric parameters. The predicted overall and local thermal resistances of 19 ensembles in different postures were compared with experimental data from previous studies. The ensembles validated in this study included single-layer and double-layer clothing for daily wear. The results demonstrated that the predicted values agreed well with the experimental data. The errors of predicted overall and most local thermal resistance were within 15% and 20%, respectively. Furthermore, the model exhibited higher accuracy and resolution compared to previous models. Finally, the effect of posture on clothing thermal resistance was analyzed, providing reliable guidance for the design of clothing thermal performance. This study has significant implications for clothing design and thermal comfort prediction, contributing to improving human thermal comfort.</t>
  </si>
  <si>
    <t>[Zhang, Hui; Shi, Yunrui] Donghua Univ, Coll Fash &amp; Design, Shanghai 200051, Peoples R China; [Hu, Zhuo] Xinjiang Univ, Coll Text &amp; Clothing, Urumqi 830046, Peoples R China; [Zheng, Rong; Chen, Qing; Fan, Jintu] Donghua Univ, Shanghai Int Fash Innovat Ctr, Shanghai 200051, Peoples R China; [Wan, Xianfu] Donghua Univ, Coll Text, Shanghai 201620, Peoples R China; [Fan, Jintu] Hong Kong Polytech Univ, Inst Text &amp; Clothing, Kowloon, Hong Kong, Peoples R China</t>
  </si>
  <si>
    <t>Donghua University; Xinjiang University; Donghua University; Donghua University; Hong Kong Polytechnic University</t>
  </si>
  <si>
    <t>Zheng, R; Fan, JT (corresponding author), Donghua Univ, Shanghai Int Fash Innovat Ctr, Shanghai 200051, Peoples R China.;Wan, XF (corresponding author), Donghua Univ, Coll Text, Shanghai 201620, Peoples R China.;Fan, JT (corresponding author), Hong Kong Polytech Univ, Inst Text &amp; Clothing, Kowloon, Hong Kong, Peoples R China.</t>
  </si>
  <si>
    <t>rzheng@dhu.edu.cn; wanxianfu@dhu.edu.cn; jin-tu.fan@polyu.edu.hk</t>
  </si>
  <si>
    <t>10.1007/s12273-025-1274-2</t>
  </si>
  <si>
    <t>WOS:001476149700001</t>
  </si>
  <si>
    <t>Qiao, X; Kong, XF; Xu, BW; Jiang, LN</t>
  </si>
  <si>
    <t>Qiao, Xu; Kong, Xiangfei; Xu, Bowen; Jiang, Lina</t>
  </si>
  <si>
    <t>Thermal performance analysis and optimization over a twin-stage phase change ceiling-floor cascaded cooling system</t>
  </si>
  <si>
    <t>phase change material; twin-stage PCM cooling; cascaded thermal energy storage; indoor thermal comfort; mathematical simulation; system optimization</t>
  </si>
  <si>
    <t>NUMERICAL-SIMULATION; NATURAL VENTILATION; COMFORT; PCM; BUILDINGS; ROOF; CFD</t>
  </si>
  <si>
    <t>Phase change material (PCM) is outstanding for building thermal insulation, competent for indoor cooling enhancement. However, single-PCM deployment seems not good enough for better cooling performance and higher energy efficiency. Therefore, experiment with mathematic optimization over PCM ceiling-floor cascaded cooling system has been conducted. An experimental test rig has been built with different PCMs attached to the room ceiling/floor respectively. In this manuscript, optimized system configuration for summer cooling has been obtained via control variable method based on the experimental weather data in Tianjin, China. The optimal systematic configuration has been determined as 4-cm-thick PCM panels both for floor/roof, and 23/28 degrees C in phase change temperature arrangement in floor/roof sequence, along with heat transfer fluid (HTF) of 19 degrees C circulating through the capillaries inserted at middle location of the PCM panels in Down-feed/Up-return manner with the interval of 15 cm, is recommended. Cooling HTF being 3 degrees C higher than the experimental results after optimization, indicates a decent energy conservation potential. Also, thermal conductivity is suggested to be 3.45 W/(mK), and possessing around 200 J/g in latent thermal energy storage ability. Finally, it is concluded that differentiated phase change temperature arrangement in increasing manner along the heat transfer fluid circulation direction brings about better colling performance.</t>
  </si>
  <si>
    <t>[Qiao, Xu; Kong, Xiangfei; Xu, Bowen; Jiang, Lina] Hebei Univ Technol, Sch Energy &amp; Environm Engn, Tianjin 300401, Peoples R China</t>
  </si>
  <si>
    <t>Hebei University of Technology</t>
  </si>
  <si>
    <t>Kong, XF (corresponding author), Hebei Univ Technol, Sch Energy &amp; Environm Engn, Tianjin 300401, Peoples R China.</t>
  </si>
  <si>
    <t>xfkong@hebut.edu.cn</t>
  </si>
  <si>
    <t>10.1007/s12273-025-1240-z</t>
  </si>
  <si>
    <t>WOS:001473686500001</t>
  </si>
  <si>
    <t>Zhu, J; Tian, Z; Niu, JD; Lu, YK; Cheng, BH; Zhou, HZ</t>
  </si>
  <si>
    <t>Zhu, Jie; Tian, Zhe; Niu, Jide; Lu, Yakai; Cheng, Baohua; Zhou, Haizhu</t>
  </si>
  <si>
    <t>Machine learning-enhanced lightweight rule-based control strategy for building energy demand response</t>
  </si>
  <si>
    <t>energy flexibility; lightweight control strategy; machine learning; rule-based control; model predictive control</t>
  </si>
  <si>
    <t>MODEL-PREDICTIVE CONTROL; MPC</t>
  </si>
  <si>
    <t>Buildings and heating, ventilation and air conditioning (HVAC) systems are recognized as effective flexibility resources that can interact with the power grid to reduce electrical peak loads. Model predictive control (MPC) is a powerful approach for fully unlocking the energy flexibility of buildings. However, MPC relies on online optimization for practical engineering deployment, which imposes a significant computational burden and limits its widespread adoption. To address the challenge of computational burden, this study proposes a machine learning-enhanced lightweight rule-based control strategy (ML-RBC). The main idea of ML-RBC is to use a machine learning (ML) model to automatically tune the adjustable parameters of the rule-based controller (RBC). Specifically, the ML model learns the functional relationship between external inputs and adjustable parameters from a dataset generated by batch offline closed-loop MPC simulations. The proposed method retains inherent high computational efficiency of RBC while also achieving optimal control performance. The demand response (DR) control performance of the proposed method is evaluated using a high-fidelity co-simulation platform that integrates Spawn of EnergyPlus and Modelica. Simulation experiments are performed on a multi-zone office building equipped with a variable air volume (VAV) cooling system under time-of-use electricity pricing and day-ahead DR programs. The experimental results indicate that, compared to the baseline strategy, ML-RBC and traditional MPC achieve cost savings of 21.95% and 23.07%, respectively. Importantly, ML-RBC eliminates the need for online optimization while achieving a computational cost of less than one-thousandth that of MPC, with only a slight performance loss as the trade-off. Finally, the impact of the trajectory interpolation method in ML-RBC on control performance is discussed, revealing that different interpolation methods have a minor influence on the overall performance.</t>
  </si>
  <si>
    <t>[Zhu, Jie; Tian, Zhe; Niu, Jide] Tianjin Univ, Sch Environm Sci &amp; Engn, Tianjin 300072, Peoples R China; [Lu, Yakai] Hebei Univ Technol, Sch Energy &amp; Environm Engn, Tianjin 300401, Peoples R China; [Cheng, Baohua] State Grid Tianjin Elect Power Co, Tianjin 300010, Peoples R China; [Zhou, Haizhu] China Acad Bldg Res, Beijing 100013, Peoples R China</t>
  </si>
  <si>
    <t>Tianjin University; Hebei University of Technology; State Grid Corporation of China</t>
  </si>
  <si>
    <t>Niu, JD (corresponding author), Tianjin Univ, Sch Environm Sci &amp; Engn, Tianjin 300072, Peoples R China.</t>
  </si>
  <si>
    <t>niujide@tju.edu.cn</t>
  </si>
  <si>
    <t>10.1007/s12273-025-1275-1</t>
  </si>
  <si>
    <t>WOS:001472857200001</t>
  </si>
  <si>
    <t>Ma, ZH; Jiang, G; Chen, JL</t>
  </si>
  <si>
    <t>Ma, Zhihao; Jiang, Gang; Chen, Jianli</t>
  </si>
  <si>
    <t>Neural ordinary differential equations-based approach for enhanced building energy modeling on small datasets</t>
  </si>
  <si>
    <t>neural ordinary differential equations; physics-informed machine learning; building energy modeling; small training datasets; robustness</t>
  </si>
  <si>
    <t>PREDICTION; CONSUMPTION; ANN</t>
  </si>
  <si>
    <t>The substantial progress in machine learning (ML) techniques and the growing availability of building data have created significant opportunities for rapid and precise building energy modeling. However, despite the notable capabilities of ML algorithms, their performance could severely degrade when available training dataset is limited, undermining trustworthiness and effectiveness of model application in practice. To address this challenge, this study develops the seasonal na &amp; iuml;ve-neural-ordinary differential equations (SN-NODE) model to predict the cooling and heating loads of buildings, especially in scenarios with severe data scarcity. By incorporating a physics-informed structure into SN-NODE, the model aligns predictions with the underlying physical principle governed by resistance-capacitance (RC) models, enhancing both accuracy and reliability. The resulting predictions for hourly and sub-hourly cooling and heating loads achieved a coefficient of variation of root mean square error (CVRMSE) of approximately 0.3 and 0.2, respectively, demonstrating its strong potential for accurate building load prediction. The physics-informed structure further improved prediction accuracy over the original SN-NODE when trained with hourly dataset, ensuring physically consistent and interpretable results. Moreover, a robustness index (RI) function was proposed to evaluate the model robustness in a nonlinear manner, showcasing the superior performance of the SN-NODE model with limited training data compared to conventional data-driven models including long-short term memory (LSTM) and support vector machine (SVM). Notably, the SN-NODE model maintained high prediction accuracy even with only two weeks of training data, whereas the performance of LSTM decreased dramatically (CVRMSE increases from approximately 0.3 to 0.5) under similar conditions. Finally, the SN-NODE model exhibited robust performance across different time resolutions and forecasting horizons, achieving CVRMSE ranging from approximately 0.15 to 0.3 in building energy use prediction.</t>
  </si>
  <si>
    <t>[Ma, Zhihao; Jiang, Gang; Chen, Jianli] Univ Utah, Dept Civil &amp; Environm Engn, Salt Lake City, UT 84102 USA; [Chen, Jianli] Tongji Univ, Dept Civil Engn, Shanghai, Peoples R China</t>
  </si>
  <si>
    <t>Utah System of Higher Education; University of Utah; Tongji University</t>
  </si>
  <si>
    <t>Chen, JL (corresponding author), Univ Utah, Dept Civil &amp; Environm Engn, Salt Lake City, UT 84102 USA.;Chen, JL (corresponding author), Tongji Univ, Dept Civil Engn, Shanghai, Peoples R China.</t>
  </si>
  <si>
    <t>jianlichen@tongji.edu.cn</t>
  </si>
  <si>
    <t>10.1007/s12273-025-1269-z</t>
  </si>
  <si>
    <t>WOS:001464381100001</t>
  </si>
  <si>
    <t>Su, LH; Gang, WJ; Zhang, Y; Dong, SK; Tu, ZK</t>
  </si>
  <si>
    <t>Su, Lihong; Gang, Wenjie; Zhang, Ying; Dong, Shukun; Tu, Zhengkai</t>
  </si>
  <si>
    <t>An unsupervised non-intrusive load monitoring method for HVAC systems of office buildings based on MSTL</t>
  </si>
  <si>
    <t>demand response; non-intrusive load monitoring; load disaggregation; unsupervised method; STL; HVAC</t>
  </si>
  <si>
    <t>DISAGGREGATION; DECOMPOSITION</t>
  </si>
  <si>
    <t>Heating, ventilation, and air conditioning (HVAC) systems constitute a significant portion of the office building load and are important flexibility resources. However, the HVAC loads are often inaccessible to the utility or load aggregators who only have total load data. Most existing studies require subloads for supervised disaggregation or prior knowledge for unsupervised disaggregation, but such information is hard to obtain. It is necessary to develop an effective, completely unsupervised non-intrusive monitoring method to obtain the HVAC load data. In this study, a multiple seasonal-trend decomposition using the LOESS (MSTL) method is proposed to disaggregate the HVAC load from the total metered electricity data of office buildings. The effects of periodic types (daily, weekly, monthly, etc.), periodic sequences, and parallel/serial structures are analyzed. The proposed method is verified based on the historical electricity data of ten buildings. The results show that the proposed MSTL can accurately disaggregate the HVAC load with a coefficient of variation of the root mean square error (CVRMSE) of 10.94%, a normalized root mean squared error (NRMSE) of 2.1%, and a weighted absolute percentage error (WAPE) of 8.52%. Compared to single-cycle STL, the proposed method can significantly improve load disaggregation performance, with a maximum reduction of 16.36% in CVRMSE, 5.3% in NRMSE, and 12.91% in WAPE. Backward-chain-based MSTL is recommended with higher accuracy and robustness. The proposed method provides an effective solution for utilities or load aggregators to improve demand response management and grid stability.</t>
  </si>
  <si>
    <t>[Su, Lihong; Gang, Wenjie; Zhang, Ying] Huazhong Univ Sci &amp; Technol, Inst Artificial Intelligence, 1037 Luoyu Rd, Wuhan 430074, Peoples R China; [Gang, Wenjie; Zhang, Ying; Dong, Shukun] Huazhong Univ Sci &amp; Technol, Sch Environm Sci &amp; Engn, 1037 Luoyu Rd, Wuhan 430074, Peoples R China; [Gang, Wenjie] Huazhong Univ Sci &amp; Technol, Sch Environm Sci &amp; Engn, Hubei Key Lab Multimedia Pollut Cooperat Control Y, 1037 Luoyu Rd, Wuhan 430074, Peoples R China; [Tu, Zhengkai] Huazhong Univ Sci &amp; Technol, Sch Energy &amp; Power Engn, 1037 Luoyu Rd, Wuhan 430074, Peoples R China</t>
  </si>
  <si>
    <t>Huazhong University of Science &amp; Technology; Huazhong University of Science &amp; Technology; Huazhong University of Science &amp; Technology; Huazhong University of Science &amp; Technology</t>
  </si>
  <si>
    <t>Gang, WJ (corresponding author), Huazhong Univ Sci &amp; Technol, Inst Artificial Intelligence, 1037 Luoyu Rd, Wuhan 430074, Peoples R China.;Gang, WJ (corresponding author), Huazhong Univ Sci &amp; Technol, Sch Environm Sci &amp; Engn, 1037 Luoyu Rd, Wuhan 430074, Peoples R China.;Gang, WJ (corresponding author), Huazhong Univ Sci &amp; Technol, Sch Environm Sci &amp; Engn, Hubei Key Lab Multimedia Pollut Cooperat Control Y, 1037 Luoyu Rd, Wuhan 430074, Peoples R China.</t>
  </si>
  <si>
    <t>10.1007/s12273-025-1268-0</t>
  </si>
  <si>
    <t>WOS:001464400900001</t>
  </si>
  <si>
    <t>Dai, H; Wu, NM; Dong, ZM; Ren, J; Gao, Y; Zhao, B</t>
  </si>
  <si>
    <t>Dai, Hui; Wu, Nemin; Dong, Zhaomin; Ren, Jun; Gao, Yao; Zhao, Bin</t>
  </si>
  <si>
    <t>Comparison and evaluation of machine learning models for predicting indoor PM2.5 concentrations on a large spatiotemporal scale</t>
  </si>
  <si>
    <t>machine learning; indoor air pollution; PM2.5; interpretability</t>
  </si>
  <si>
    <t>FINE PARTICULATE MATTER; CHINA</t>
  </si>
  <si>
    <t>The underlying uncertainty associated with long-term exposure to indoor pollutants at the population level has prevented point prediction models for indoor PM2.5 from providing adequate information for large-scale applications. Moreover, physics-based prediction models are constrained by the untraceable input complexity. In this study, we predicted the large-scale spatiotemporal distributions of residential PM2.5 concentration using three data-driven models: Gaussian Process Regression (GPR), Quantile Random Forest (QRF), and Bayesian Neural Network (BNN). These three models were selected based on their established representative status within the spectrum of machine learning, ranging from shallow to deep methodologies. Our findings underscore the superior performance of the BNN model, which achieved an R-2 ranging from 0.48 to 0.70 and 95% prediction interval coverage between 85% and 88% across multiple datasets. The comprehensive framework presented herein for model comparison, validation, and attribution can assist future studies in elucidating the complex nonlinear relationships between urban characteristics and indoor air pollutants, thereby providing valuable insights into urban planning, design, and policy development from the perspective of indoor PM2.5 pollution mitigation.</t>
  </si>
  <si>
    <t>[Dai, Hui; Zhao, Bin] Tsinghua Univ, Sch Architecture, Dept Bldg Sci, Beijing 100084, Peoples R China; [Zhao, Bin] Tsinghua Univ, Beijing Key Lab Indoor Air Qual Evaluat &amp; Control, Beijing 100084, Peoples R China; [Wu, Nemin] Univ Georgia, Franklin Coll Arts &amp; Sci, Dept Geog, Athens, GA 30605 USA; [Dong, Zhaomin] Southeast Univ, Sch Publ Hlth, Nanjing, Peoples R China; [Ren, Jun; Gao, Yao] Shenzhen Inst Bldg Res Co Ltd, Shenzhen, Peoples R China</t>
  </si>
  <si>
    <t>Tsinghua University; Tsinghua University; University System of Georgia; University of Georgia; Southeast University - China; Shenzhen Institute of Building Research Co Ltd</t>
  </si>
  <si>
    <t>10.1007/s12273-025-1276-0</t>
  </si>
  <si>
    <t>WOS:001462219200001</t>
  </si>
  <si>
    <t>Xu, DM; Liu, RX; Liu, YL; Dong, QX; Zhu, JY; Ma, YT</t>
  </si>
  <si>
    <t>Xu, Demin; Liu, Ruixue; Liu, Yaling; Dong, Qiaoxue; Zhu, Jinyu; Ma, Yuntao</t>
  </si>
  <si>
    <t>Precise quantification of microclimate heterogeneity and canopy group effects in actively heated solar greenhouses</t>
  </si>
  <si>
    <t>solar greenhouse; microclimate; interaction; heat load; active heating; economic benefit</t>
  </si>
  <si>
    <t>PHASE-CHANGE MATERIAL; THERMAL PERFORMANCE; ENERGY; SIMULATION; CLIMATE; DESIGN; SYSTEM; MODEL; ENVIRONMENT; SELECTION</t>
  </si>
  <si>
    <t>Winter is a critical period for greenhouse crops production. Multi-source sensors were utilized to quantitatively describe the microclimate distribution patterns and the interactions between crops and greenhouse environment during the winter season. By integrating 3D simulation model, we calculated the energy balance of solar greenhouses, thus assessing the suitability and economic efficiency of several common greenhouse heating devices. The results revealed significant discrepancy in energy demand across different planting areas within the greenhouse, especially in the north-south direction. Significant interactions between crops and greenhouse environment were observed. The presence of cucumber canopies significantly increased relative humidity by 3.0% to 3.8% and negatively impacted air temperature by 1.1 degrees C to 2.5 degrees C. Considering the energy balance, initial investment in heating devices, usage period, and utilization effectiveness, the light tube radiators were identified as a suitable heating option. Compared to the unheated greenhouse, the heated greenhouse raised minimum temperatures by 5.2 degrees C to 10.2 degrees C, reduced maximum relative humidity by 4.2% to 14.6%, and had a return-on-investment period of approximately 4.7 years. These findings offer valuable insights for multi-source sensor deployment, distributed control, structure optimization, and heating design in solar greenhouse.</t>
  </si>
  <si>
    <t>[Xu, Demin; Liu, Ruixue; Ma, Yuntao] China Agr Univ, Coll Land Sci &amp; Technol, Beijing 100091, Peoples R China; [Liu, Ruixue; Zhu, Jinyu] Chinese Acad Agr Sci, Inst Vegetables &amp; Flowers, State Key Lab Vegetable Biobreeding, Beijing 100081, Peoples R China; [Liu, Yaling] Inner Mongolia Pratacultural Technol Innovat Ctr C, Hohhot, Inner Mongolia, Peoples R China; [Dong, Qiaoxue] China Agr Univ, Coll Informat &amp; Elect Engn, Beijing 100091, Peoples R China</t>
  </si>
  <si>
    <t>China Agricultural University; Chinese Academy of Agricultural Sciences; Institute of Vegetables &amp; Flowers, CAAS; China Agricultural University</t>
  </si>
  <si>
    <t>Ma, YT (corresponding author), China Agr Univ, Coll Land Sci &amp; Technol, Beijing 100091, Peoples R China.;Zhu, JY (corresponding author), Chinese Acad Agr Sci, Inst Vegetables &amp; Flowers, State Key Lab Vegetable Biobreeding, Beijing 100081, Peoples R China.</t>
  </si>
  <si>
    <t>zhujinyu@caas.cn; yuntao.ma@cau.edu.cn</t>
  </si>
  <si>
    <t>10.1007/s12273-025-1247-5</t>
  </si>
  <si>
    <t>WOS:001461170900001</t>
  </si>
  <si>
    <t>Ding, XX; Zhang, HT; Zhang, WR; Zhang, WJ; Xuan, YL</t>
  </si>
  <si>
    <t>Ding, Xiaoxiao; Zhang, Haotian; Zhang, Weirong; Zhang, Weijia; Xuan, Yingli</t>
  </si>
  <si>
    <t>A Fourier neural operator-based method for rapid prediction of 3D indoor airflow dynamics</t>
  </si>
  <si>
    <t>velocity field; Fourier neural operator; rapid prediction; computational fluid dynamics</t>
  </si>
  <si>
    <t>FLUID-DYNAMICS</t>
  </si>
  <si>
    <t>Indoor airflow distribution significantly influences temperature regulation, humidity control, and pollutant dispersion, directly impacting thermal comfort and occupant health. Accurate and efficient prediction of airflow fields is essential for optimizing ventilation systems and enabling real-time control. However, existing computational approaches for dynamic ventilation are computationally intensive and have limited generalization capabilities. This study leverages the Fourier neural operator (FNO), a method rooted in operator learning and Fourier transform principles, to develop a three-dimensional (3D) airflow simulation model capable of predicting velocity and its components. The model was trained using 200 s of sinusoidal ventilation data (amplitude: 0.4) and evaluated under diverse air supply patterns, including sinusoidal (amplitude: 0.8), intermittent, and stepwise periodic ventilation. Additionally, the model's performance was assessed with low-resolution training data and further tested for recursive prediction accuracy. Results reveal that the FNO method achieves high accuracy, with a mean square error of 9.906 x 10-5 for sinusoidal amplitude 0.8 and 4.004 x 10-5 over 400 time steps for sinusoidal, intermittent, and stepwise conditions. Further evaluations, including tests on low-resolution training data and recursive prediction, were conducted to examine the model's resolution invariance and assess its performance in iterative forecasting. These findings demonstrate the FNO method's potential for robust, efficient prediction of 3D unsteady airflow fields, providing a pathway for real-time ventilation system optimization.</t>
  </si>
  <si>
    <t>[Ding, Xiaoxiao; Zhang, Haotian; Zhang, Weirong; Zhang, Weijia] Beijing Univ Technol, Key Lab Green Built Environm &amp; Energy Efficient Te, Beijing 100124, Peoples R China; [Xuan, Yingli] Tokyo Polytech Univ, Dept Architecture, Tokyo, Japan</t>
  </si>
  <si>
    <t>10.1007/s12273-025-1263-5</t>
  </si>
  <si>
    <t>WOS:001459738000001</t>
  </si>
  <si>
    <t>Ji, LL; Gaur, A; Voogt, J; Krayenhoff, ES</t>
  </si>
  <si>
    <t>Ji, Lili; Gaur, Abhishek; Voogt, James; Krayenhoff, E. Scott</t>
  </si>
  <si>
    <t>Strategic deployment of urban trees to achieve thermal resilience in a Canadian community</t>
  </si>
  <si>
    <t>thermal resilience; urban tree deployment; tree canopy coverage; microclimate; building performance; heat stress</t>
  </si>
  <si>
    <t>GREEN INFRASTRUCTURE; CLIMATE; VEGETATION; SIMULATION; IMPACT</t>
  </si>
  <si>
    <t>Climate change and urban heat islands are intensifying the frequency and severity of heatwaves, emphasizing the need for resilient and sustainable strategies to cool urban outdoor and indoor spaces. Urban trees are identified as an effective solution, yet limited studies address how different tree deployment strategies enhance building thermal resilience against heatwaves. This study examines the impact of strategic urban tree deployment on building thermal resilience across a neighborhood in London, Canada. Two deployment strategies are assessed: a straightforward strategy based on outdoor temperature hotspots, and a more complex strategy based on building indoor heat stress. The analysis incorporates tree growth and its effect on canopy coverage. A coupled microclimate-building performance simulation evaluates outdoor and indoor thermal conditions, with thermal resilience quantified using a novel method integrating microclimate effects, heat stress intensity, and exposure duration. Results indicated that when canopy coverage increases from 6% to the Nature Canada-recommended 30%, both strategies achieve similar maximum reductions in building surrounding outdoor air temperature (4.0 degrees C) and Standard Effective Temperature (6.9 degrees C), as well as comparable reductions in indoor thermal stress. However, at lower canopy coverage levels (&lt;= 20%), the indoor based strategy achieves a more uniform resilience distribution and enhances thermal resilience for the majority of buildings with poorer baseline conditions. At 30% canopy coverage and above, the differences between the two strategies become less pronounced, making tree deployment based on outdoor temperature hotspots a straightforward yet effective strategy for improving neighborhood thermal resilience.</t>
  </si>
  <si>
    <t>[Ji, Lili; Gaur, Abhishek] Nation Res Council Canada, Construction Res Ctr, Ottawa, ON, Canada; [Voogt, James] Western Univ, Dept Geog &amp; Environm, London, ON, Canada; [Krayenhoff, E. Scott] Univ Guelph, Sch Environm Sci, Guelph, ON, Canada</t>
  </si>
  <si>
    <t>Western University (University of Western Ontario); University of Guelph</t>
  </si>
  <si>
    <t>Ji, LL (corresponding author), Nation Res Council Canada, Construction Res Ctr, Ottawa, ON, Canada.</t>
  </si>
  <si>
    <t>Lili.Ji@nrc-cnrc.gc.ca</t>
  </si>
  <si>
    <t>10.1007/s12273-025-1261-7</t>
  </si>
  <si>
    <t>WOS:001457923300001</t>
  </si>
  <si>
    <t>Chen, WH; Yin, YG; Fan, FS; Cao, BW; Xu, GY</t>
  </si>
  <si>
    <t>Chen, Wanhe; Yin, Yonggao; Fan, Fangsu; Cao, Bowen; Xu, Guoying</t>
  </si>
  <si>
    <t>Anti-condensation regulation strategy of the novel radiant cooling terminal based on moisture buffering effect</t>
  </si>
  <si>
    <t>radiant cooling terminal; humidity conditioning material; moisture buffering effect; condensation; regulation strategy</t>
  </si>
  <si>
    <t>ENERGY-CONSUMPTION; HUMIDITY-CONTROL; THERMAL COMFORT; PERFORMANCE; SYSTEM; OFFICE; VENTILATION; MEMBRANE; PANEL</t>
  </si>
  <si>
    <t>To solve the problem of condensation at the radiant cooling terminal, a novel radiant cooling terminal (NRCT) based on the moisture buffering effect is proposed. The NRCT combines traditional radiant cooling terminals with solid humidity conditioning materials (HCM). On this basis, a coupled anti-condensation regulation strategy between the NRCT and the fresh air system was constructed, which utilizes the moisture buffering effect of the HCM to extend the condensation time, and reserves sufficient time for active intervention of personnel and feedback adjustment of the fresh air system. Then, the indoor air parameters are restored to normal design values as a result of the fresh air system. Meanwhile, the HCM releases the adsorbed water vapor, thereby enabling the completion of the desorption process. Using numerical simulation methods to study each step of the anti-condensation regulation strategy, the results indicate that the NRCT can effectively prevent condensation, and it can ensure that condensation does not occur within 20 min after the window is opened, even under extreme weather conditions. Moreover, the anti-condensation effect improves with the thickness increase of the HCM. However, when ensuring the prevention of condensation while expecting the best moisture adsorption effect, there is an optimal value for the thickness of the HCM. Increasing the fresh air supply volume can enable the HCM to complete the desorption process more quickly. In the final steady-state operation process, the HCM can continue to release moisture, achieving sustainable utilization of the HCM. In actual operation, the operational duration of the fresh air system during the moisture desorption process can be regulated by tracking the relative humidity of the outlet to ensure that the HCM completes the adsorption and desorption cycle. This anti-condensation regulation strategy can provide effective guarantee for the non-condensing operation of radiant cooling terminals.</t>
  </si>
  <si>
    <t>[Chen, Wanhe; Yin, Yonggao; Fan, Fangsu; Cao, Bowen; Xu, Guoying] Southeast Univ, Sch Energy &amp; Environm, Nanjing 210096, Peoples R China; [Yin, Yonggao] Minist Educ, Engn Res Ctr Bldg Energy Environm &amp; Equipments, Beijing, Peoples R China</t>
  </si>
  <si>
    <t>Yin, YG (corresponding author), Southeast Univ, Sch Energy &amp; Environm, Nanjing 210096, Peoples R China.;Yin, YG (corresponding author), Minist Educ, Engn Res Ctr Bldg Energy Environm &amp; Equipments, Beijing, Peoples R China.</t>
  </si>
  <si>
    <t>10.1007/s12273-025-1264-4</t>
  </si>
  <si>
    <t>MAR 2025</t>
  </si>
  <si>
    <t>WOS:001456173000001</t>
  </si>
  <si>
    <t>Liu, G; Zheng, Y; Xu, XC; Liu, XP; Zhang, HH; Ou, JP</t>
  </si>
  <si>
    <t>Liu, Geng; Zheng, Yue; Xu, Xiaocong; Liu, Xiaoping; Zhang, Honghui; Ou, Jinpei</t>
  </si>
  <si>
    <t>Fine-scale estimation of building operation carbon emissions: A case study of the Pearl River Delta Urban Agglomeration</t>
  </si>
  <si>
    <t>building-level CO2 emissions; DeST; building types; spatiotemporal distribution</t>
  </si>
  <si>
    <t>CHINA ENERGY-CONSUMPTION; CO2 EMISSIONS; OCCUPANT BEHAVIOR; SECTOR; SIMULATION; PREDICTION; FOOTPRINT; FRAMEWORK</t>
  </si>
  <si>
    <t>Building operations are a significant source of urban carbon dioxide (CO2) emissions. However, the specific amounts and spatiotemporal distribution of these emissions remain unclear, complicating targeted emission reduction goals. This study introduces a building-level CO2 emissions estimation method and applies it to the Pearl River Delta Urban Agglomeration (PRDUA). By integrating the Designer's Simulation Toolkit (DeST) for electricity consumption modeling with an energy decomposition approach for natural gas (NG) and liquefied petroleum gas (LPG) usage, we calculated CO2 emissions for each building using specific carbon emission factors. The methodology was validated in terms of the electricity consumption intensity per square meter and the monthly electricity consumption of individual buildings. In 2021, the annual hourly emission peak in the PRDUA was 26.1 thousand tons, with a low of 606.2 t. Commercial buildings have the highest monthly CO2 emission intensity per unit area (MCEIA) among all building types, ranging from 3.7 kgCO(2)/(m(2)mo) in February to 6.9 kgCO(2)/(m(2)mo) in July. The total annual CO2 emissions from buildings in the PRDUA were 82.14 million tons, with the top four cities accounting for 75.6% of the emissions; the remaining five cities contributed only 24.4%, highlighting a significant imbalance. Residential and commercial buildings were responsible for 76% of total emissions, emphasizing the disparity in contributions among different building categories. By mapping the spatiotemporal distribution of emissions, we identified the critical areas for targeted carbon reduction. The proposed method provides a robust framework for supporting sustainable urban energy management and guiding effective carbon mitigation strategies.</t>
  </si>
  <si>
    <t>[Liu, Geng; Zheng, Yue; Xu, Xiaocong; Liu, Xiaoping; Ou, Jinpei] Sun Yat Sen Univ, Sch Geog &amp; Planning, Guangdong Key Lab Urbanizat &amp; Geosimulat, Guangzhou 510275, Peoples R China; [Liu, Xiaoping] Southern Marine Sci &amp; Engn Guangdong Lab Zhuhai, Zhuhai 519000, Peoples R China; [Zhang, Honghui] Guangzhou Univ, Sch Geog &amp; Remote Sensing, Guangzhou 510006, Peoples R China; [Zhang, Honghui] Guangdong Guodi Planning Sci Technol Co Ltd, Guangzhou 510650, Peoples R China</t>
  </si>
  <si>
    <t>Sun Yat Sen University; Southern Marine Science &amp; Engineering Guangdong Laboratory; Southern Marine Science &amp; Engineering Guangdong Laboratory (Zhuhai); Guangzhou University</t>
  </si>
  <si>
    <t>Zheng, Y (corresponding author), Sun Yat Sen Univ, Sch Geog &amp; Planning, Guangdong Key Lab Urbanizat &amp; Geosimulat, Guangzhou 510275, Peoples R China.</t>
  </si>
  <si>
    <t>zhengy235@mail2.sysu.edu.cn</t>
  </si>
  <si>
    <t>10.1007/s12273-025-1265-3</t>
  </si>
  <si>
    <t>WOS:001455791400001</t>
  </si>
  <si>
    <t>Tian, BW; Loonen, RCGM; Hensen, JLM</t>
  </si>
  <si>
    <t>Tian, Bowen; Loonen, Roel C. G. M.; Hensen, Jan L. M.</t>
  </si>
  <si>
    <t>Semantic obstruction detection for improved solar energy potential modeling in urban areas</t>
  </si>
  <si>
    <t>urban solar irradiation; dynamic graph CNN; solar obstruction; shading impacts</t>
  </si>
  <si>
    <t>SIMULATION; PERFORMANCE; YIELD; SEGMENTATION; VALIDATION; PANELS</t>
  </si>
  <si>
    <t>Achieving precise and scalable solar potential estimation in urban settings is challenging due to the presence of a wide variety of obstructions. To address this issue, we developed a novel urban solar potential modeling method based on an improved 2-phase daylight model. Utilizing a dynamic graph convolutional neural network semantic segmentation model to process urban point cloud data, our method distinguishes between different types of solar obstructions, assigning specific simulation hyperparameters accordingly. Demonstrated through experiments, our method significantly outperforms traditional models by avoiding the underestimation of shading impacts-by up to 60% for monthly solar irradiation potential and 40% for annual PV yield potential. Moreover, our method accurately accounts for complex solar transmission through tree canopies, avoiding underestimation of PV energy potential by up to 7% compared to its predecessor (Pyrano 1.0). These improvements offer substantial benefits for managing PV shading risks, configuring PV systems, and managing renewable resources, especially in urban areas with complex geometries and dynamically changing shading conditions. Our findings underscore the method's potential to enhance decision-making in sustainable urban development and renewable energy integration.</t>
  </si>
  <si>
    <t>[Tian, Bowen; Loonen, Roel C. G. M.; Hensen, Jan L. M.] Eindhoven Univ Technol, Bldg Phys &amp; Serv, Postbus 513, NL-5600 MB Eindhoven, Netherlands</t>
  </si>
  <si>
    <t>Eindhoven University of Technology</t>
  </si>
  <si>
    <t>Tian, BW (corresponding author), Eindhoven Univ Technol, Bldg Phys &amp; Serv, Postbus 513, NL-5600 MB Eindhoven, Netherlands.</t>
  </si>
  <si>
    <t>b.tian@tue.nl</t>
  </si>
  <si>
    <t>10.1007/s12273-025-1238-6</t>
  </si>
  <si>
    <t>WOS:001455795800001</t>
  </si>
  <si>
    <t>Kong, XF; Zhao, ZX; Feng, GY; Fan, M; Li, H; Yuan, JJ</t>
  </si>
  <si>
    <t>Kong, Xiangfei; Zhao, Zhengxia; Feng, Guanyuan; Fan, Man; Li, Han; Yuan, Jianjuan</t>
  </si>
  <si>
    <t>Experimental study on summer operation regulation of PV walls based on multi-channel ventilation and composite phase change energy storage</t>
  </si>
  <si>
    <t>electrical and thermal performance; operation strategy; phase change energy storage; photovoltaic wall; segmented-time ventilation</t>
  </si>
  <si>
    <t>TROMBE WALL; THERMAL PERFORMANCE; PCM; MODULE; TEMPERATURE; HEAT; CLIMATE; ENHANCE; SYSTEMS; WATER</t>
  </si>
  <si>
    <t>Photovoltaic (PV) walls are prone to overheating during summer, which adversely affects their thermal and electrical performance. Current solutions primarily involved ventilation and phase change energy storage, which often proved ineffective when applied independently. This study developed a PV wall integrated with multi-channel ventilation and composite phase change materials (PV-MV-CPCM), and investigated its operational performance and strategies during summer. Experimental results indicated that increasing the ventilation wind speed by 2.0 m/s enhanced the combined thermal-electrical efficiency by 10.8%. Nonetheless, during outdoor temperature rise period, increasing the number of activated airflow layers and inlet wind speeds led to additional heat transfer to the internal surface, resulting in the wall's internal surface temperature to rise by 0.8 degrees C. To address this, a segmented-time ventilation control strategy was proposed based on the temperature differences across various layers. Compared to full-time ventilation, the segmented-time ventilation effectively mitigated the impact of high outdoor temperatures, reducing the wall's internal surface peak temperature by 1.1 degrees C, increasing the peak heat removal efficiency by 2.1% and improving the combined thermal-electrical efficiency by 3.8%. This study provided effective strategies for mitigating the overheating of PV walls during summer, thereby enhancing both thermal and electrical performance.</t>
  </si>
  <si>
    <t>[Kong, Xiangfei; Zhao, Zhengxia; Feng, Guanyuan; Fan, Man; Li, Han; Yuan, Jianjuan] Hebei Univ Technol, Sch Energy &amp; Environm Engn, Tianjin 300401, Peoples R China</t>
  </si>
  <si>
    <t>Fan, M (corresponding author), Hebei Univ Technol, Sch Energy &amp; Environm Engn, Tianjin 300401, Peoples R China.</t>
  </si>
  <si>
    <t>fanman@hebut.edu.cn</t>
  </si>
  <si>
    <t>10.1007/s12273-025-1259-1</t>
  </si>
  <si>
    <t>WOS:001451386500001</t>
  </si>
  <si>
    <t>Liu, SM; Xu, LH; Chen, BQ; Deng, ZP; Du, CB; Li, P; Zhao, RM</t>
  </si>
  <si>
    <t>Liu, Sumei; Xu, Longhui; Chen, Bingqian; Deng, Zhipeng; Du, Chengbo; Li, Pin; Zhao, Runming</t>
  </si>
  <si>
    <t>Optimized design of a reinforced exhaust at low velocity (RELV) system for efficient viral aerosol removal in elevators</t>
  </si>
  <si>
    <t>aerosol transmission; elevator space; ventilation strategy; CFD; exposure risk assessment</t>
  </si>
  <si>
    <t>AIR-FLOW</t>
  </si>
  <si>
    <t>Elevators, as an enclosed and often crowded space, pose a high risk of airborne infections due to ineffective ventilation. To mitigate this issue, this study introduces a reinforced exhaust at low velocity (RELV) system, specifically designed to enhance aerosol removal efficiency in elevators. The performance of the RELV system was assessed through computational fluid dynamics (CFD) simulations, employing the Renormalization Group (RNG) k-epsilon turbulence model to simulate airflow and the Lagrangian method to track particle motion. The RELV system was benchmarked against three conventional ventilation strategies: mixed ventilation (MV), displacement ventilation (DV), and local exhaust (Exhaust). Results demonstrated that the RELV system, optimized at a momentum ratio of 0.2, achieved a remarkable 72.9% aerosol removal efficiency within 120 s, significantly outperforming the 16.1% removal efficiency of the MV system under Scenario I, where the patient was located at the elevator's center. Furthermore, the viral aerosol concentration in the breathing zone was reduced from 2.03x10-2 mg/cm3 in the MV system to 1.02x10-3 mg/cm3 in the RELV system. The RELV system features simple design and compatibility with existing ventilation systems, offering an effective solution to improve air quality in elevators and other enclosed environments. Additionally, this study provides a velocity decay curve for low-velocity jets in the RELV system. This curve offers valuable insights for designing ventilation systems in similar settings.</t>
  </si>
  <si>
    <t>[Liu, Sumei; Xu, Longhui; Zhao, Runming] Tianjin Univ, Sch Environm Sci &amp; Engn, Tianjin Key Lab Indoor Air Environm Qual Control, Tianjin 300072, Peoples R China; [Liu, Sumei; Li, Pin] Qing Hai Univ, China Sch Energy &amp; Elect Engn, Xining 810016, Peoples R China; [Chen, Bingqian] BYD Auto Ind Co Ltd, Shenzhen 518119, Peoples R China; [Deng, Zhipeng] Univ Cent Florida, Coll Engn &amp; Comp Sci, Dept Mech &amp; Aerosp Engn, Orlando, FL 32816 USA; [Du, Chengbo] Purdue Univ, Sch Mech Engn, W Lafayette, IN 47907 USA; [Zhao, Runming] Shanghai Junyu Informat Technol Co Ltd, Shanghai, Peoples R China</t>
  </si>
  <si>
    <t>Tianjin University; Qinghai University; BYD; State University System of Florida; University of Central Florida; Purdue University System; Purdue University; Purdue University in Indianapolis</t>
  </si>
  <si>
    <t>Zhao, RM (corresponding author), Tianjin Univ, Sch Environm Sci &amp; Engn, Tianjin Key Lab Indoor Air Environm Qual Control, Tianjin 300072, Peoples R China.;Zhao, RM (corresponding author), Shanghai Junyu Informat Technol Co Ltd, Shanghai, Peoples R China.</t>
  </si>
  <si>
    <t>zhaorm@tju.edu.cn</t>
  </si>
  <si>
    <t>10.1007/s12273-025-1258-2</t>
  </si>
  <si>
    <t>WOS:001451451600001</t>
  </si>
  <si>
    <t>Park, SY; Choi, SJ; Lee, DS; Jo, JH</t>
  </si>
  <si>
    <t>Park, So-Yi; Choi, Su-Ji; Lee, Dong-Seok; Jo, Jae-Hun</t>
  </si>
  <si>
    <t>Assessing stack-induced infiltration loads by predicting neutral pressure levels in high-rise buildings</t>
  </si>
  <si>
    <t>stack effect; infiltration load; high-rise building; neutral pressure level; building energy</t>
  </si>
  <si>
    <t>AIR-FLOW MODELS; PLANE POSITION; SIMULATION</t>
  </si>
  <si>
    <t>Accurate energy demand simulation in high-rise buildings requires evaluating the impact of stack-induced infiltration. This study introduces a simplified method for calculating infiltration loads by predicting the neutral pressure level (NPL) based on key architectural and atmospheric data. The NPL location of the elevator shaft was determined through a mass balance approach by simplifying a multi-zone building to a single zone group on each floor. Based on the predicted NPL, the stack-induced pressure distribution was calculated to estimate the building's infiltration rates. The method focuses exclusively on airflow driven by the stack effect, making it especially suitable for mid- and high-rise buildings where vertical airflow dominates. Case studies revealed significant variations in heating and cooling loads-up to 55%-due to differences in shaft planning, such as the number of vertical zones and service zone configuration. These findings underscore the importance of incorporating the vertical shaft plan into energy simulation. The proposed method provides comprehensive insights into the infiltration profiles by floor and can serve as a basis for developing strategies to manage load imbalances between floors.</t>
  </si>
  <si>
    <t>[Park, So-Yi] Inha Univ, Ind Sci &amp; Technol Res Inst, Incheon 22212, South Korea; [Choi, Su-Ji] Inha Univ, Dept Architectural Engn, Incheon 22212, South Korea; [Lee, Dong-Seok] Keimyung Univ, Dept Architectural Engn, Daegu 42601, South Korea; [Jo, Jae-Hun] Inha Univ, Div Architecture, Incheon 22212, South Korea</t>
  </si>
  <si>
    <t>Inha University; Inha University; Keimyung University; Inha University</t>
  </si>
  <si>
    <t>Jo, JH (corresponding author), Inha Univ, Div Architecture, Incheon 22212, South Korea.</t>
  </si>
  <si>
    <t>jhjo@inha.ac.kr</t>
  </si>
  <si>
    <t>10.1007/s12273-025-1255-5</t>
  </si>
  <si>
    <t>WOS:001449430800001</t>
  </si>
  <si>
    <t>Chen, SQ; Xi, Y; Lun, IS; Rao, ZQ; Yu, S; Yang, Y; Fu, HJ; Shen, LZ</t>
  </si>
  <si>
    <t>Chen, Shuqin; Xi, Yuan; Lun, Isaac; Rao, Zhiqin; Yu, Shuai; Yang, Yi; Fu, Huijun; Shen, Lizhi</t>
  </si>
  <si>
    <t>Energy flexible optimal operation of centralized hot water system in university dormitories based on model predictive control</t>
  </si>
  <si>
    <t>energy flexibility; centralized hot water system; operation optimization; model predictive control; university dormitories</t>
  </si>
  <si>
    <t>HEAT-PUMP; FLEXIBILITY; BUILDINGS; QUANTIFICATION; PERFORMANCE; MANAGEMENT; STORAGE</t>
  </si>
  <si>
    <t>Energy flexibility is an important way to realize the real-time balance of regional energy supply and demand, and it can also reduce the operating cost of the system combined with peak-valley electricity price. The operation of central hot water system in university dormitories can provide abundant energy flexibility due to the heat storage characteristics of water tank and pipe network. In order to quantify the potential of the flexibility of the central hot water system in university dormitories to optimize the operation of the system, an optimization model of the central hot water system based on model predictive control was proposed in this study. The proposed model consists of the water consumption prediction model based on the circulation neural network, the heat source model based on the linear model, and the hot water system temperature prediction model based on the RC (resistance and the capacitance) model. Putting emphasis on the reduction of operating cost as the objective function, genetic algorithm is used to find the optimal operation strategy. The results obtained from simulation showed that using energy flexibility to transfer hot water load from peak electricity price period to valley electricity price period could save 30% and 9.4% operating costs in summer and winter, respectively, and increase 64.4% power consumption during valley electricity price period in typical winter months, while bringing more suitable hot water temperature and comfort.</t>
  </si>
  <si>
    <t>[Chen, Shuqin; Xi, Yuan; Rao, Zhiqin; Yu, Shuai] Zhejiang Univ, Coll Civil Engn &amp; Architecture, Hangzhou 310012, Peoples R China; [Lun, Isaac] Univ Nottingham Ningbo China, Dept Architecture &amp; Built Environm, Ningbo 315100, Peoples R China; [Rao, Zhiqin] Hangzhou Architectural Design &amp; Res Inst Co Ltd, Hangzhou 310008, Peoples R China; [Yu, Shuai; Yang, Yi] Zhejiang Univ, Ctr Balance Architecture, Hangzhou 310012, Peoples R China; [Yang, Yi] Zhejiang Univ, Architectural Design &amp; Res Inst, Hangzhou 310063, Peoples R China; [Fu, Huijun; Shen, Lizhi] Zhejiang Univ, Dept Gen Affairs, Hangzhou 310012, Peoples R China</t>
  </si>
  <si>
    <t>Zhejiang University; University of Nottingham Ningbo China; Zhejiang University; Zhejiang University; Zhejiang University</t>
  </si>
  <si>
    <t>Rao, ZQ (corresponding author), Zhejiang Univ, Coll Civil Engn &amp; Architecture, Hangzhou 310012, Peoples R China.;Rao, ZQ (corresponding author), Hangzhou Architectural Design &amp; Res Inst Co Ltd, Hangzhou 310008, Peoples R China.</t>
  </si>
  <si>
    <t>21912070@zju.edu.cn</t>
  </si>
  <si>
    <t>10.1007/s12273-025-1257-3</t>
  </si>
  <si>
    <t>WOS:001448782800001</t>
  </si>
  <si>
    <t>Zheng, S; Bai, JB; Akram, MW</t>
  </si>
  <si>
    <t>Zheng, Shuang; Bai, Jianbo; Akram, M. Waqar</t>
  </si>
  <si>
    <t>An enhanced method for design and simulation of building integrated photovoltaic plants incorporating photovoltaic resource assessment</t>
  </si>
  <si>
    <t>building integrated photovoltaics shading; photovoltaic resource assessment; photovoltaic modules arrangement; photovoltaic simulation</t>
  </si>
  <si>
    <t>MODULES; BIPV; VALIDATION; DIFFUSE; MODEL</t>
  </si>
  <si>
    <t>The consumption of buildings represents a considerable proportion of global carbon emissions and energy consumption. Building-integrated photovoltaics (BIPV) technology is an important means of reducing emissions and consumption. However, the intricacy and complexity inherent in the design of BIPV systems, particularly in the context of complex urban environments, present a significant challenge to the advancement of BIPV technology. In this study, an enhanced methodology for the design and simulation of BIPV systems is proposed and validated. The methodology proposed comprises four key parts: shadow calculation based on polygon cutting and projection, building photovoltaic resource assessment based on irradiance heat maps, automatic arrangement of photovoltaic modules based on parallel scan lines algorithm, and power generation simulation of BIPV system based on the simulation of modules, cables, and inverters. The methodology was applied and validated through three case studies, with two additional comparisons between proposed method and professional software to assess both the accuracy and efficiency of the proposed method. A thorough analysis of the case study and comparison results further confirms that the proposed design method achieves high precision and accuracy. This method offers valuable guidance for the design and simulation of BIPV power plants.</t>
  </si>
  <si>
    <t>[Zheng, Shuang] Hohai Univ, Coll Mech &amp; Elect Engn, Changzhou 213200, Jiangsu, Peoples R China; [Bai, Jianbo; Akram, M. Waqar] Hohai Univ, Coll Renewable Energy, Changzhou 213200, Jiangsu, Peoples R China</t>
  </si>
  <si>
    <t>Hohai University; Hohai University</t>
  </si>
  <si>
    <t>Bai, JB (corresponding author), Hohai Univ, Coll Renewable Energy, Changzhou 213200, Jiangsu, Peoples R China.</t>
  </si>
  <si>
    <t>bai_jianbo@hhu.edu.cn</t>
  </si>
  <si>
    <t>10.1007/s12273-025-1252-8</t>
  </si>
  <si>
    <t>WOS:001445155100001</t>
  </si>
  <si>
    <t>Quan, MF; Zhou, Y; Wang, Y; Guan, XG; Cao, ZX; Chen, SH</t>
  </si>
  <si>
    <t>Quan, Mengfan; Zhou, Yu; Wang, Yi; Guan, Xiaogang; Cao, Zhixiang; Chen, Shuaihao</t>
  </si>
  <si>
    <t>Topology optimization design and performance analysis of the low resistance rectifier for uniform air supply</t>
  </si>
  <si>
    <t>topology optimization; uniform air supply; rectifier; resistance; ventilation system</t>
  </si>
  <si>
    <t>PERFORATED PLATES; FLOW</t>
  </si>
  <si>
    <t>The uniformity of supply airflow is crucial in efficiently transporting fresh air to the target area and establishing a healthy indoor environment. However, connectors such as reducers in front of the air supply terminal disrupt airflow. Adding a rectifier device between the air supply terminal and connector is an effective approach to address this issue within limited installation space. Nevertheless, conventional rectifiers suffer from excessive resistance. This paper innovatively proposes a rectifier topology optimization method utilizing a dual-objective function, and optimally designs a novel low-resistance rectifier to enhance the uniformity of supply air. An experimental comparison between the topology optimization rectifier and traditional rectifier is conducted to validate the effectiveness. Numerical analysis elucidates the mechanism of driving performance enhancement in the topology optimization rectifier. The findings suggest that the topology optimization result is influenced by the number of outlets in the physical model and the weight factor of the dual-objective function. The topology-optimized rectifier improves supply airflow uniformity while reducing resistance, unlike traditional rectifiers that increase resistance. It reduces pressure drop at the inlet and outlet by 23%, enhances outlet uniformity by 59%, and mitigates the axial velocity decay rate compared to the case without a rectifier. Moreover, the rectification mechanism results from the tree-shaped bending structure of the topology-optimized rectifier, which evenly distributes airflow and minimizes reversion zones, thus decreasing energy dissipation. This study provides guidance for designing low-resistance rectifiers to achieve a uniform air supply.</t>
  </si>
  <si>
    <t>[Quan, Mengfan; Zhou, Yu; Wang, Yi; Guan, Xiaogang; Cao, Zhixiang; Chen, Shuaihao] Xian Univ Architecture &amp; Technol, State Key Lab Green Bldg Western China, Xian 710055, Peoples R China; [Quan, Mengfan; Zhou, Yu; Wang, Yi; Guan, Xiaogang; Cao, Zhixiang; Chen, Shuaihao] Xian Univ Architecture &amp; Technol, Sch Bldg Serv Sci &amp; Engn, Xian 710055, Peoples R China</t>
  </si>
  <si>
    <t>Zhou, Y (corresponding author), Xian Univ Architecture &amp; Technol, State Key Lab Green Bldg Western China, Xian 710055, Peoples R China.;Zhou, Y (corresponding author), Xian Univ Architecture &amp; Technol, Sch Bldg Serv Sci &amp; Engn, Xian 710055, Peoples R China.</t>
  </si>
  <si>
    <t>10.1007/s12273-025-1251-9</t>
  </si>
  <si>
    <t>WOS:001441658600001</t>
  </si>
  <si>
    <t>Li, SH; Su, S; Lin, XR</t>
  </si>
  <si>
    <t>Li, Shuhao; Su, Shu; Lin, Xiaorui</t>
  </si>
  <si>
    <t>Optimizing the hyper-parameters of deep reinforcement learning for building control</t>
  </si>
  <si>
    <t>hyper-parameter optimization; deep reinforcement learning; building energy system optimal control; BOPTEST; parallelization</t>
  </si>
  <si>
    <t>ALGORITHMS; SIMULATION</t>
  </si>
  <si>
    <t>Buildings are a major energy consumer and carbon emitter, therefore it is important to improve building energy efficiency to achieve our sustainable development goal. Deep reinforcement learning (DRL), as an advanced building control method, demonstrates great potential for energy efficiency optimization and improved occupant comfort. However, the performance of DRL is highly sensitive to hyper-parameters, and selecting inappropriate hyper-parameters may lead to unstable learning or even failure. This study aims to investigate the design and application of DRL in building energy system control, with a specific focus on improving the performance of DRL controllers through hyper-parameter optimization (HPO) algorithms. It also aims to provide quantitative evaluation and adaptive validation of these optimized controllers. Two widely used algorithms, deep deterministic policy gradient (DDPG) and soft actor-critic (SAC), are used in the study and their performance is evaluated in different building environments based on the BOPTEST virtual testbed. One of the focuses of the study is to compare various HPO techniques, including tree-structured Parzen estimator (TPE), covariance matrix adaptation evolution strategy (CMA-ES), and combinatorial optimization methods, to determine the efficacy of different hyper-parameter optimization methods for DRL. The study enhances HPO efficiency through parallel computation and conducts a comprehensive quantitative assessment of the optimized DRL controllers, considering factors such as reduced energy consumption and improved comfort. The results show that the HPO algorithms significantly improve the performance of the DDPG and SAC controllers. A reduction of 56.94% and 68.74% in thermal discomfort is achieved, respectively. Additionally, the study demonstrates the applicability of the HPO-based approach for enhancing DRL controller performance across diverse building environments, providing valuable insights for the design and optimization of building DRL controllers.</t>
  </si>
  <si>
    <t>[Li, Shuhao; Su, Shu] Southeast Univ, Dept Civil Engn, Nanjing, Jiangsu, Peoples R China; [Lin, Xiaorui] OCT Eastern China Investment Co Ltd, Shanghai, Peoples R China</t>
  </si>
  <si>
    <t>Su, S (corresponding author), Southeast Univ, Dept Civil Engn, Nanjing, Jiangsu, Peoples R China.</t>
  </si>
  <si>
    <t>sushu@seu.edu.cn</t>
  </si>
  <si>
    <t>10.1007/s12273-025-1233-y</t>
  </si>
  <si>
    <t>WOS:001436561600001</t>
  </si>
  <si>
    <t>Tang, SB; Li, F; Han, YH; Feng, ZB</t>
  </si>
  <si>
    <t>Tang, Shibo; Li, Fei; Han, Yuhui; Feng, Zhuangbo</t>
  </si>
  <si>
    <t>A lightweight adjoint method for gaseous pollution source term estimation in urban environments</t>
  </si>
  <si>
    <t>atmospheric dispersion; CFD; inverse problem; Gaussian model; source identification</t>
  </si>
  <si>
    <t>ATMOSPHERIC DISPERSION; TRANSPORT; ARRAY</t>
  </si>
  <si>
    <t>Urban pollution leaks threaten people's lives and cause environmental pollution. However, there is a lack of a lightweight algorithm that can be embedded in portable devices to estimate the location and dynamic release strength of the pollution source rapidly and accurately. This study introduced a spatiotemporally separated source term estimation method that integrated the Gaussian equation with adjoint theory, known as the lightweight adjoint method (LAM). The adjoint method was initially utilized to identify the high probability spatial region of the pollution source. The regularization method was then used to determine the temporal release characteristics of potential sources in the region. Finally, the residual function was used to determine the real source location. The adjoint method based on the validated CFD model was employed to compare with the LAM in Mock Urban Setting Test (MUST). The results show that the LAM can rapidly estimate the location and dynamic strength of different pollution sources in the urban environment. It was particularly effective for source localization under the neutral atmospheric condition, achieving a maximum localization error of 22.1 m. Additionally, it was more suitable for calculating source intensity for the pulse source, with the maximum mean absolute percentage error (MAPE) of 15.1%.</t>
  </si>
  <si>
    <t>[Tang, Shibo; Li, Fei; Han, Yuhui] Nanjing Tech Univ, Coll Urban Construct, Nanjing 210009, Peoples R China; [Feng, Zhuangbo] Southeast Univ, Sch Architecture, Nanjing 210096, Peoples R China; [Feng, Zhuangbo] Southeast Univ, Jiangsu Prov Engn Res Ctr Urban Heat &amp; Pollut Cont, Nanjing 210096, Peoples R China</t>
  </si>
  <si>
    <t>Nanjing Tech University; Southeast University - China; Southeast University - China</t>
  </si>
  <si>
    <t>Li, F (corresponding author), Nanjing Tech Univ, Coll Urban Construct, Nanjing 210009, Peoples R China.</t>
  </si>
  <si>
    <t>10.1007/s12273-025-1244-8</t>
  </si>
  <si>
    <t>WOS:001436580800001</t>
  </si>
  <si>
    <t>Zeng, TC; Ma, XT; Luo, YL; Yin, J; Ji, YX; Lu, S</t>
  </si>
  <si>
    <t>Zeng, Tiancheng; Ma, Xintong; Luo, Yilu; Yin, Jun; Ji, Yuxin; Lu, Shuai</t>
  </si>
  <si>
    <t>Improving outdoor thermal environmental quality through kinetic canopy empowered by machine learning and control algorithms</t>
  </si>
  <si>
    <t>outdoor thermal comfort; kinetic architecture; machine learning; genetic algorithm; Universal Thermal Climate Index (UTCI)</t>
  </si>
  <si>
    <t>ARTIFICIAL NEURAL-NETWORKS; SHADING SYSTEMS; COMFORT; DESIGN; URBAN; PERFORMANCE; IMPACT; SPACES; OPTIMIZATION; PARAMETERS</t>
  </si>
  <si>
    <t>Urban outdoor spaces are vital for our daily lives and activities. However, unlike indoor environments, outdoor spaces are characterized by unpredictable climatic conditions and a lack of mature control over environmental quality. Thus, this study explores the utilization of an intelligent kinetic canopy (KCP) to enhance the quality of the outdoor thermal environment. The KCP was conducted using various technologies, including the Internet of Things, motor automation control, web crawler, simulation, machine learning, optimization algorithms, and kinetic architecture theory. KCP can adjust its own form in real-time according to weather changes and can significantly improve thermal quality in local outdoor spaces. To quantify its ability, the effects of the three algorithms on the Universal Thermal Climate Index (UTCI) values and the associated annual thermal neutral hours on the original open-state site were compared. The control strategy based on genetic algorithms yielded leading performance, achieving 1193 h of annual thermal neutral time increments compared with the original site, approximately 3.3 h daily. Compared with the best static canopy, its neutral period is 696 h longer, or 140% better in creating additional thermally neutral hours. These findings demonstrate the ability of the KCP to further unleash the potential of space design to improve the thermal comfort of outdoor spaces, which broadens the conceptual scope for similar design and research on outdoor spaces and provides architects and designers with insights into specific technical applications and strategies for implementation.</t>
  </si>
  <si>
    <t>[Zeng, Tiancheng; Ma, Xintong; Luo, Yilu; Yin, Jun; Lu, Shuai] Tsinghua Univ, Shenzhen Int Grad Sch, Shenzhen, Peoples R China; [Luo, Yilu] Natl Univ Singapore, Dept Architecture, Singapore, Singapore; [Ji, Yuxin] Midea Grp, Dept Bldg Technol, Shanghai, Peoples R China</t>
  </si>
  <si>
    <t>Tsinghua University; National University of Singapore; Midea</t>
  </si>
  <si>
    <t>10.1007/s12273-025-1246-6</t>
  </si>
  <si>
    <t>WOS:001435563900001</t>
  </si>
  <si>
    <t>Zhang, Y; Liu, MJ; Ling, ZX; Gang, WJ; Hao, XX</t>
  </si>
  <si>
    <t>Zhang, Ying; Liu, Manjia; Ling, Zaixun; Gang, Wenjie; Hao, Xiuxia</t>
  </si>
  <si>
    <t>An identification and analysis method on the abnormal electricity usage behavior of urban/building energy systems based on statistical method and domain knowledge</t>
  </si>
  <si>
    <t>electricity data; outlier; anomaly; abnormal behavior; boxplot method; urban energy system</t>
  </si>
  <si>
    <t>CONSUMPTION; DIAGNOSIS; BOXPLOT</t>
  </si>
  <si>
    <t>Understanding the abnormal electricity usage behavior of buildings is essential to enhance the resilience, efficiency, and security of urban/building energy systems while safeguarding occupant comfort. However, data reflecting such behavior are often considered as outliers, and removed or smoothed during preprocessing, limiting insights into their potential impacts. This paper proposes an abnormal behavior analysis method that identifies outliers (considering data distribution) and anomalies (considering the physical context) based on the statistical principle and domain knowledge, assessing their effects on energy supply security. A 4-quadrant graph is proposed to quantify and categorize the impacts of buildings on urban energy systems. The method is illustrated by data from 1,451 buildings in a city. Results show that the proposed method can identify abnormal data effectively. Buildings in the primary industry have more outliers, while those in the tertiary industry have more anomalies. Seven buildings affecting both the security and economy of urban energy systems are identified. The outliers rise more frequently from 8:00 to 18:00, on weekdays and in the summer and winter months. However, the anomaly distribution has a weak connection with time. Moreover, the abnormal electricity usage behavior positively correlates with outdoor air temperatures. This method provides a new perspective for identifying potential risks, managing energy usage behavior, and enhancing flexibility of the urban energy systems.</t>
  </si>
  <si>
    <t>[Zhang, Ying; Gang, Wenjie; Hao, Xiuxia] Huazhong Univ Sci &amp; Technol, Sch Environm Sci &amp; Engn, Wuhan 430074, Peoples R China; [Zhang, Ying; Gang, Wenjie] Huazhong Univ Sci &amp; Technol, Inst Artificial Intelligence, Wuhan 430074, Peoples R China; [Liu, Manjia; Ling, Zaixun] State Grid Hubei Elect Power Res Inst, Wuhan 430015, Peoples R China; [Gang, Wenjie] Huazhong Univ Sci &amp; Technol, Sch Environm Sci &amp; Engn, Hubei Key Lab Multimedia Pollut Cooperat Control Y, Wuhan 430074, Peoples R China</t>
  </si>
  <si>
    <t>Gang, WJ (corresponding author), Huazhong Univ Sci &amp; Technol, Sch Environm Sci &amp; Engn, Wuhan 430074, Peoples R China.;Gang, WJ (corresponding author), Huazhong Univ Sci &amp; Technol, Inst Artificial Intelligence, Wuhan 430074, Peoples R China.;Gang, WJ (corresponding author), Huazhong Univ Sci &amp; Technol, Sch Environm Sci &amp; Engn, Hubei Key Lab Multimedia Pollut Cooperat Control Y, Wuhan 430074, Peoples R China.</t>
  </si>
  <si>
    <t>10.1007/s12273-025-1242-x</t>
  </si>
  <si>
    <t>FEB 2025</t>
  </si>
  <si>
    <t>WOS:001432619300001</t>
  </si>
  <si>
    <t>Fahim, BM; Akbar, MK; Amayri, M</t>
  </si>
  <si>
    <t>Fahim, Belal Mahmud; Akbar, Mohammad Kaosain; Amayri, Manar</t>
  </si>
  <si>
    <t>ResiDualNet: A novel electric vehicle charging data imputation technique to enhance load forecasting accuracy</t>
  </si>
  <si>
    <t>electric vehicle; load forecasting; missing data imputation; residual Seq2Seq; SCINet</t>
  </si>
  <si>
    <t>ABSOLUTE ERROR MAE; MACHINE; RMSE</t>
  </si>
  <si>
    <t>Electric vehicles (EVs) are a sustainable mode of transportation, significantly reducing greenhouse gas emissions. The development of EV charging stations is crucial for supporting the growing number of EVs and integrating them into smart grid infrastructure. Efficient use of these stations requires optimized energy management and accurate forecasting of EV charging behaviors. However, forecasting accuracy is often hindered by missing data due to connectivity issues and equipment failures. To address these challenges, this study introduces a novel data imputation method ResiDualNet (Residual Dual BiLSTM-CNN Path Network), which is a residual sequence-to-sequence technique for imputing missing EV charging data. This model effectively captures underlying temporal and long-term dependencies, demonstrating strong performance across various scenarios. We compare our proposed model with two commonly used imputation methods KNN and Mean Imputation and one generative model, Generative Adversarial Network (GAN), across four different EV charging datasets. Experimental results demonstrate that our model significantly outperforms the others, showing an average improvement of 82% in terms of root mean squared error (RMSE) across all datasets. To further assess the effectiveness of our imputation model, we utilize three cutting-edge and newly introduced forecasting models: Bidirectional Long Short-Term Memory (BiLSTM), Mogrifier LSTM, and Sample Convolution and Interaction Network (SCINet) to predict EV charging load. The results indicate that SCINet outperforms the other forecasting techniques. Moreover, for SCINet, the dataset imputed by our proposed model performs second best after the real dataset, confirming the effectiveness of our imputation approach in improving forecasting accuracy for EV charging data. The complete source code is provided in the following repository: https://github.com/fffahim/ResiDualNet.git</t>
  </si>
  <si>
    <t>[Fahim, Belal Mahmud; Akbar, Mohammad Kaosain; Amayri, Manar] Concordia Univ, Concordia Inst Informat Syst Engn CIISE, Montreal, PQ, Canada</t>
  </si>
  <si>
    <t>Amayri, M (corresponding author), Concordia Univ, Concordia Inst Informat Syst Engn CIISE, Montreal, PQ, Canada.</t>
  </si>
  <si>
    <t>10.1007/s12273-025-1236-8</t>
  </si>
  <si>
    <t>WOS:001432555500001</t>
  </si>
  <si>
    <t>Han, S; Lee, M; Lee, H</t>
  </si>
  <si>
    <t>Han, Sowon; Lee, Mingoo; Lee, Heangwoo</t>
  </si>
  <si>
    <t>Effectiveness of internal light shelves to improve daylighting</t>
  </si>
  <si>
    <t>light shelf; internal light shelf; ceiling height; daylighting performance; performance evaluation</t>
  </si>
  <si>
    <t>PERFORMANCE; SYSTEMS; DESIGN</t>
  </si>
  <si>
    <t>Although internal light shelves are more accessible and easier to maintain than external light shelves, they have lower daylighting efficiency than their external counterparts. Past studies on internal light shelves have primarily focused on fixed room and window sizes rather than identifying them as factors that negatively impact the performance of the light shelves. This study assumes that the room ceiling height is a key factor affecting the daylighting performance of internal light shelves. It evaluates the performance of both internal and external light shelves under various ceiling heights to collect basic data for improving the daylighting performance of internal light shelves. The lighting simulation software Radiance was used to analyze the daylighting performance of these light shelves. The main findings are as follows: (1) In summer and midseason, internal light shelves should be installed in rooms with a ceiling height of at least 4.5 m to achieve a daylighting performance comparable to external light shelves. (2) In summer and midseason, internal light shelves enhance indoor uniformity ratios more than external light shelves; however, incorporating additional shading devices to achieve a comfortable visual environment with an indoor uniformity ratio of 0.3 or less is necessary. (3) Light shelves are not recommended in winter, because they do not contribute to a comfortable indoor lighting environment or energy savings for heating. Removable or detachable light shelves are advantageous; thus, internal light shelves are effective because they are relatively easy to remove and install. This study is significant, as it evaluates the effectiveness and applicability of internal light shelves based on varying ceiling heights. However, it did not consider other variables related to light shelves, indicating that further research is needed to dive into these aspects.</t>
  </si>
  <si>
    <t>[Han, Sowon] Sangmyung Univ, Grad Sch, Dept Design, Cheonan Si 31066, Chungcheongnam, South Korea; [Lee, Mingoo] Korea Elect Technol Inst, Seongnam 13509, Gyeonggi Do, South Korea; [Lee, Heangwoo] Sangmyung Univ, Coll Design, Spatial Design, Cheonan Si 31066, Chungcheongnam, South Korea</t>
  </si>
  <si>
    <t>Sangmyung University; Korea Electronics Technology Institute (KETI); Sangmyung University</t>
  </si>
  <si>
    <t>Lee, H (corresponding author), Sangmyung Univ, Coll Design, Spatial Design, Cheonan Si 31066, Chungcheongnam, South Korea.</t>
  </si>
  <si>
    <t>2hw@smu.ac.kr</t>
  </si>
  <si>
    <t>10.1007/s12273-025-1241-y</t>
  </si>
  <si>
    <t>WOS:001426551900001</t>
  </si>
  <si>
    <t>Qing, ZX; Zhang, WR; Zhang, WJ; Zhang, HT; Xuan, YL</t>
  </si>
  <si>
    <t>Qing, Zhixi; Zhang, Weirong; Zhang, Weijia; Zhang, Haotian; Xuan, Yingli</t>
  </si>
  <si>
    <t>Influence of airflow and the location of infected individuals on occupant exposure in classrooms without mechanical ventilation during the winter</t>
  </si>
  <si>
    <t>classroom; computational fluid dynamics; contaminant dissemination; personal exposure; infected individual; mechanical ventilation system</t>
  </si>
  <si>
    <t>AIRBORNE INFECTION; CONTAMINANT SOURCE; PERFORMANCE; DISPLACEMENT; MODELS</t>
  </si>
  <si>
    <t>Winter poses a high risk for spreading infectious respiratory diseases, particularly in classrooms, which are known hotspots for cross-infection. The health hazards in classrooms lacking mechanical ventilation systems often go unnoticed. To address this issue, we studied the risk of respiratory infection transmission in such environments during winter by assessing the spread of contaminants using computational fluid dynamics (CFD). We evaluated four common airflow setups (split-type air conditioner, open door, open window, and both door and window open) in classrooms without mechanical ventilation. Our findings indicate that while split air conditioners provide optimal thermal comfort, they significantly increase exposure risk. Conversely, simply opening a door can effectively balance thermal comfort with a reduced exposure risk-particularly when the infected individual is near the door, leading to a minimal 0.01% average intake fraction. Furthermore, under varying ventilation scenarios, the sensitivity of exposure risk to location changes of infected individuals differs significantly. Specifically, when a split-type air conditioner is used, occupant exposure is largely unaffected by changes in the location of the infected individual. However, the exposure risk becomes highly sensitive to location changes of infected individuals when a door or window is used for ventilation. Strategic positioning of the infected individual can decrease indoor exposure risk by up to 94% with the door open and 67% with the window open. Additionally, when the door and window are both open, the dependency of occupant exposure on the location of the infected individual decreases. In this case, the exposure risk for indoor occupants is low, regardless of the position of the infected individual.</t>
  </si>
  <si>
    <t>[Qing, Zhixi; Zhang, Weirong; Zhang, Weijia; Zhang, Haotian] Beijing Univ Technol, Key Lab Green Built Environm &amp; Energy Efficient Te, Beijing 100124, Peoples R China; [Xuan, Yingli] Tokyo Polytech Univ, Dept Architecture, Tokyo, Japan</t>
  </si>
  <si>
    <t>10.1007/s12273-025-1239-5</t>
  </si>
  <si>
    <t>WOS:001426434500001</t>
  </si>
  <si>
    <t>Cebolla-Alemany, J; Martí, MM; Viana, M; Gasso-Domingo, S; Moreno-Martín, V; Bou, D; San Félix, V; López-Carreño, RD</t>
  </si>
  <si>
    <t>Cebolla-Alemany, Joaquim; Marti, Marcel Macarulla; Viana, Mar; Gasso-Domingo, Santiago; Moreno-Martin, Veronica; Bou, David; San Felix, Vicenta; Lopez-Carreno, Ruben D.</t>
  </si>
  <si>
    <t>Simulating nanoparticle concentration using stochastic models to improve indoor air quality in the industry</t>
  </si>
  <si>
    <t>reduced-order models; lumped sum model; grey-box modeling; industry; HVAC</t>
  </si>
  <si>
    <t>DEPOSITION RATES; AIRBORNE NANOPARTICLES; PARAMETER-ESTIMATION; PARTICLE DEPOSITION; GENERAL VENTILATION; HEAT-TRANSFER; HVAC SYSTEM; BOX MODELS; ULTRAFINE; EXPOSURE</t>
  </si>
  <si>
    <t>In industrial scenarios, nanoparticles are incidentally generated in high concentrations during diverse material transformation processes, presenting potential health hazards for exposed workers. Consequently, as an indoor air quality management measure, their concentration is commonly reduced through localized forced ventilation. However, the control of these systems usually relies on traditional rule-based algorithms, which cannot deploy efficient control strategies such as model predictive control. To solve this issue, we propose a novel grey-box reduced order model method, never used before for industrial indoor nanoparticles. This approach can be deployed in model predictive control algorithms in buildings and does not present the data-reliance and transferability issues of black-box modeling. To test this model, a data collection campaign was conducted under real-world operating conditions in an industrial-scale thermal spraying booth, aiming to test the method's viability for model calibration and validation of indoor total nanoparticle concentration through the maximum likelihood method, statistical validation tests, and physical viability assessment. Results for three different lumped sum models illustrate the effectiveness of grey-box modeling in industrial scenarios with confined processes and forced ventilation systems, handling observations' noise and background concentration fluctuations, and allowing a performance comparison between models. Further research could be conducted to study the viability of indoor total nanoparticle concentration reduced order models with higher spatial resolution, non-confined sources, and natural airflows.</t>
  </si>
  <si>
    <t>[Cebolla-Alemany, Joaquim; Marti, Marcel Macarulla; Gasso-Domingo, Santiago; Lopez-Carreno, Ruben D.] Univ Politecn Cataluna, Dept Project &amp; Construct Engn, Grp Construct Res &amp; Innovat GRIC, Terrassa 08222, Spain; [Viana, Mar] Spanish Minist Ecol Transit, Pollut Prevent Unit, Madrid 28071, Spain; [Viana, Mar; Moreno-Martin, Veronica] CSIC, Inst Environm Assessment &amp; Water Res IDAEA, Barcelona 08034, Spain; [Bou, David; San Felix, Vicenta] Inst Ceram Technol ITC AICE, Castellon de La Plana 12006, Spain</t>
  </si>
  <si>
    <t>Universitat Politecnica de Catalunya; Consejo Superior de Investigaciones Cientificas (CSIC); CSIC - Centro de Investigacion y Desarrollo Pascual Vila (CID-CSIC); CSIC - Instituto de Diagnostico Ambiental y Estudios del Agua (IDAEA)</t>
  </si>
  <si>
    <t>Cebolla-Alemany, J (corresponding author), Univ Politecn Cataluna, Dept Project &amp; Construct Engn, Grp Construct Res &amp; Innovat GRIC, Terrassa 08222, Spain.</t>
  </si>
  <si>
    <t>joaquim.cebolla@upc.edu</t>
  </si>
  <si>
    <t>10.1007/s12273-025-1245-7</t>
  </si>
  <si>
    <t>WOS:001425326800001</t>
  </si>
  <si>
    <t>Deng, ZP; Wang, XZ; Dong, B</t>
  </si>
  <si>
    <t>Deng, Zhipeng; Wang, Xuezheng; Dong, Bing</t>
  </si>
  <si>
    <t>Integrating quantum computing into building-to-grid control framework: Application of benders decomposition in mixed-integer nonlinear programming</t>
  </si>
  <si>
    <t>smart grid; model predictive control; IEEE 9-bus; quadratic unconstrained binary optimization; quantum annealing</t>
  </si>
  <si>
    <t>MODEL-PREDICTIVE CONTROL; SMART BUILDINGS; DEMAND RESPONSE; SUSTAINABLE ENERGY; POWER-SYSTEMS; OPTIMIZATION; MANAGEMENT; OPERATIONS; DESIGN</t>
  </si>
  <si>
    <t>Buildings use a large amount of energy in the United States. It is important to optimally manage and coordinate the resources across building and power distribution networks to improve overall efficiency. Optimizing the power grid with discrete variables was very challenging for traditional computers and algorithms, as it is an NP-hard problem. In this study, we developed a new optimization solution based on quantum computing for BTG integration. We first used MPC for building loads connected with a commercial distribution grid for cost reduction. Then we used discretization and Benders Decomposition methods to reformulate the problem and decompose the continuous and discrete variables, respectively. We used D-Wave quantum computer to solve dual problems and used conventional algorithm for primal problems. We applied the proposed method to an IEEE 9-bus network with 3 commercial buildings and over 300 residential buildings to evaluate the feasibility and effectiveness. Compared with traditional optimization methods, we obtained similar solutions with some fluctuations and improved computational speed from hours to seconds. The time of quantum computing was greatly reduced to less than 1% of traditional optimization algorithm and software such as MATLAB. Quantum computing has proved the potential to solve large-scale discrete optimization problems for urban energy systems.</t>
  </si>
  <si>
    <t>[Deng, Zhipeng] Univ Cent Florida, Coll Engn &amp; Comp Sci, Dept Mech &amp; Aerosp Engn, Orlando, FL USA; [Deng, Zhipeng; Wang, Xuezheng; Dong, Bing] Syracuse Univ, Dept Mech &amp; Aerosp Engn, Syracuse, NY 13244 USA</t>
  </si>
  <si>
    <t>State University System of Florida; University of Central Florida; Syracuse University</t>
  </si>
  <si>
    <t>10.1007/s12273-025-1248-4</t>
  </si>
  <si>
    <t>WOS:001423004100001</t>
  </si>
  <si>
    <t>Tang, XD; Zhang, L; Luo, YQ</t>
  </si>
  <si>
    <t>Tang, Xudong; Zhang, Ling; Luo, Yongqiang</t>
  </si>
  <si>
    <t>Optimization control method for dedicated outdoor air system in multi-zone office buildings based on deep reinforcement learning</t>
  </si>
  <si>
    <t>multi-zone HVAC systems; energy consumption; thermal comfort; indoor air quality; multi-agent deep reinforcement learning</t>
  </si>
  <si>
    <t>VENTILATION; COMFORT; MODEL</t>
  </si>
  <si>
    <t>Heating, ventilation, and air conditioning (HVAC) systems consume a significant amount of energy to maintain thermal comfort and indoor air quality in buildings, which results in high operational costs. Reinforcement learning is an effective method for controlling HVAC systems. However, in large and complex HVAC systems, traditional reinforcement learning algorithms often face the challenges of slow training speed and poor convergence performance. This paper proposes a multi-objective optimization control method based on the multi-agent deep deterministic policy gradient (MADDPG) algorithm, which aims to minimize HVAC energy consumption while ensuring optimal thermal comfort and indoor air quality in each zone. Using a multi-zone office building with fan coil units and a dedicated outdoor air system as a case study, we developed an EnergyPlus-Python co-simulation platform. The proposed control method was employed during both the heating and cooling seasons to independently control the temperature setpoints and fresh airflow in different zones of the office building. The simulation results from both the heating and cooling seasons demonstrate that the MADDPG control method exhibits faster convergence during training and excellent learning capabilities, allowing it to adapt effectively to changes in environmental conditions and implement appropriate control actions. Under similar indoor thermal comfort and air quality conditions, the MADDPG control method consumes less energy than the traditional reinforcement learning method, it saves 24.1% of energy during the heating season and 8.9% during the cooling season compared to the rule-based control method. Additionally, by adjusting the reward function in the MADDPG algorithm, it is possible to flexibly balance energy consumption, thermal comfort, and air quality preferences, demonstrating the algorithm's strong applicability.</t>
  </si>
  <si>
    <t>[Tang, Xudong; Zhang, Ling] Hunan Univ, Coll Civil Engn, Changsha 410082, Peoples R China; [Tang, Xudong; Zhang, Ling] Hunan Univ, Natl Ctr Int Res Collaborat Bldg Safety &amp; Environm, Changsha 410082, Peoples R China; [Tang, Xudong; Zhang, Ling] Hunan Univ, Key Lab Bldg Safety &amp; Energy Efficiency, Minist Educ, Changsha 410082, Peoples R China; [Luo, Yongqiang] Huazhong Univ Sci &amp; Technol, Sch Environm Sci &amp; Engn, Wuhan 430074, Peoples R China</t>
  </si>
  <si>
    <t>Hunan University; Hunan University; Hunan University; Huazhong University of Science &amp; Technology</t>
  </si>
  <si>
    <t>Zhang, L (corresponding author), Hunan Univ, Coll Civil Engn, Changsha 410082, Peoples R China.;Zhang, L (corresponding author), Hunan Univ, Natl Ctr Int Res Collaborat Bldg Safety &amp; Environm, Changsha 410082, Peoples R China.;Zhang, L (corresponding author), Hunan Univ, Key Lab Bldg Safety &amp; Energy Efficiency, Minist Educ, Changsha 410082, Peoples R China.</t>
  </si>
  <si>
    <t>zhangling@hnu.edu.cn</t>
  </si>
  <si>
    <t>10.1007/s12273-025-1231-0</t>
  </si>
  <si>
    <t>WOS:001422999900001</t>
  </si>
  <si>
    <t>Cheng, WC; Fu, TM</t>
  </si>
  <si>
    <t>Cheng, Wai-Chi; Fu, Tzung-May</t>
  </si>
  <si>
    <t>Accelerating urban street canyon wind flow predictions with deep learning method</t>
  </si>
  <si>
    <t>deep learning; geometry reading filter; large-eddy simulation; neural network model; urban wind flow prediction; urban street canyons</t>
  </si>
  <si>
    <t>LARGE-EDDY SIMULATION; POLLUTANT DISPERSION; TURBULENT-FLOW; MODEL</t>
  </si>
  <si>
    <t>Predicting wind flow statistics in urban areas is important for various environmental and engineering applications. Currently, building-resolved computational fluid dynamics (CFD) simulations are the most commonly used and reliable methods to simulate urban wind flows but they are time-consuming which limits their use in real applications. Therefore, our objective is to develop a surrogate model based on deep learning (DL), which can be used as a faster alternative to CFD methods for urban flows. The proposed model hypothesis is that the spatial distributions of the time-averaged flow quantities within urban canopies are highly correlated to the local urban geometries. To test this hypothesis, we developed a model to predict the flow in uniform urban street canyons by constructing a geometry reading filter to convert local urban geometry information around the targeted locations into a numerical array as DL model inputs. A standard feedforward DL model is then trained using large-eddy simulation (LES) results to predict the mean wind and turbulence within uniform street canyons. Our results show that the model can give fast and accurate predictions compared to LES results. The prediction errors are found to range from 5.8% to 36%, and the normalized mean bias magnitudes range from 6.6x10-3 to 1.6x10-1 for the different flow quantities. The DL model is also found to predict the flow patterns reasonably well, consistent with experimental data similar to the results of coarse-resolution LESs. This model has the potential to be further developed into a robust and practical tool for fast urban flow predictions.</t>
  </si>
  <si>
    <t>[Cheng, Wai-Chi; Fu, Tzung-May] Southern Univ Sci &amp; Technol, Sch Environm Sci &amp; Engn, Shenzhen Key Lab Precis Measurement &amp; Early Warnin, Shenzhen 518055, Guangdong, Peoples R China; [Cheng, Wai-Chi; Fu, Tzung-May] Southern Univ Sci &amp; Technol, Sch Environm Sci &amp; Engn, Guangdong Prov Observat &amp; Res Stn Coastal Atmosphe, Shenzhen 518055, Guangdong, Peoples R China; [Fu, Tzung-May] Natl Ctr Appl Math, Shenzhen NCAMS, Shenzhen 518055, Guangdong, Peoples R China</t>
  </si>
  <si>
    <t>Southern University of Science &amp; Technology; Southern University of Science &amp; Technology</t>
  </si>
  <si>
    <t>Cheng, WC; Fu, TM (corresponding author), Southern Univ Sci &amp; Technol, Sch Environm Sci &amp; Engn, Shenzhen Key Lab Precis Measurement &amp; Early Warnin, Shenzhen 518055, Guangdong, Peoples R China.;Cheng, WC; Fu, TM (corresponding author), Southern Univ Sci &amp; Technol, Sch Environm Sci &amp; Engn, Guangdong Prov Observat &amp; Res Stn Coastal Atmosphe, Shenzhen 518055, Guangdong, Peoples R China.;Fu, TM (corresponding author), Natl Ctr Appl Math, Shenzhen NCAMS, Shenzhen 518055, Guangdong, Peoples R China.</t>
  </si>
  <si>
    <t>zhengwz@sustech.edu.cn; fuzm@sustech.edu.cn</t>
  </si>
  <si>
    <t>10.1007/s12273-025-1243-9</t>
  </si>
  <si>
    <t>WOS:001418908300001</t>
  </si>
  <si>
    <t>Tang, HD; Su, YH; Liu, XY; Li, CY; Yuan, L</t>
  </si>
  <si>
    <t>Tang, Haida; Su, Yonghao; Liu, Xiaoyu; Li, Chunying; Yuan, Lei</t>
  </si>
  <si>
    <t>Risk assessment of exhaled infectious aerosols transmission driven by natural ventilation in four nursing homes</t>
  </si>
  <si>
    <t>nursing homes; aerosol transmission; ventilation network; natural ventilation; infection risk</t>
  </si>
  <si>
    <t>SIMULATION; EXPOSURE; ROUTES; CFD</t>
  </si>
  <si>
    <t>The severity and mortality rates associated with respiratory infectious diseases are notably elevated among older adults compared to younger populations. Nursing homes, which accommodate a considerable number of elderly individuals, are particularly vulnerable to disease outbreaks. This study proposes a method to assess the spatial infection risk of airborne transmission of respiratory diseases by coupling building layout and infiltrations. Field investigations were conducted to summarize nursing homes layout plan and occupants' activity characteristics. Meteorological parameters were used to obtain the wind pressure on building surfaces through computational fluid dynamics. The building ventilation network was further developed to quantify the pathogen exposure and infection risk of occupants. Results indicated that high infectious aerosol exposure appeared in the rooms with more occupants and low ventilation rates. In nursing homes, activity rooms were the highest infectious aerosol exposure area, accounting for 38.5%-47.9% of total exposure in a standard floor, followed by bedrooms, dining halls, and offices. Self-transmission dominated pathogen aerosol transmission, with self-transmission rates exceeding 70% in most rooms. Enhancing natural ventilation was validated as effective to reduce the risk of infection from infectious aerosol exposure. The proposed infection risk assessment is beneficial for the nursing home design in order to reduce the airborne transmission of respiratory diseases.</t>
  </si>
  <si>
    <t>[Tang, Haida; Su, Yonghao; Liu, Xiaoyu; Li, Chunying; Yuan, Lei] Shenzhen Univ, Sch Architecture &amp; Urban Planning, Shenzhen 518060, Peoples R China; [Tang, Haida; Li, Chunying] Shenzhen Key Lab Architecture Hlth &amp; Wellbeing Pre, Shenzhen 518060, Peoples R China</t>
  </si>
  <si>
    <t>Shenzhen University</t>
  </si>
  <si>
    <t>Li, CY (corresponding author), Shenzhen Univ, Sch Architecture &amp; Urban Planning, Shenzhen 518060, Peoples R China.;Li, CY (corresponding author), Shenzhen Key Lab Architecture Hlth &amp; Wellbeing Pre, Shenzhen 518060, Peoples R China.</t>
  </si>
  <si>
    <t>lichunying@szu.edu.cn</t>
  </si>
  <si>
    <t>10.1007/s12273-025-1228-8</t>
  </si>
  <si>
    <t>JAN 2025</t>
  </si>
  <si>
    <t>WOS:001407515300001</t>
  </si>
  <si>
    <t>Song, XC; Zhang, Y; Zhang, GX; Zhao, Y</t>
  </si>
  <si>
    <t>Song, Xiaocheng; Zhang, Yao; Zhang, Guoxin; Zhao, Yu</t>
  </si>
  <si>
    <t>Factors evaluation of PM2.5 diffusion in street canyons in Dalian based on numerical simulation</t>
  </si>
  <si>
    <t>street canyon; PM2.5; factor evaluation; numerical simulation; orthogonal experiment design</t>
  </si>
  <si>
    <t>VEHICLE-INDUCED TURBULENCE; PARTICULATE MATTER PM2.5; AIR-FLOW PATTERNS; POLLUTANT DISPERSION; ROAD TUNNELS; 3-DIMENSIONAL SIMULATION; PARTICLE DISPERSION; SCHMIDT NUMBERS; WIND DIRECTION; EXPOSURE</t>
  </si>
  <si>
    <t>The diffusion of particulate matter in street canyons is related to pedestrian health. There are many factors that affect the diffusion of particulate matter. However, previous studies usually focused on one single factor or two factors. A factor evaluation model of PM2.5 diffusion was established using a combination of orthogonal experiment design method and computational fluid dynamics technology in street canyons in Dalian. The sensitivity of factors to PM2.5 concentration in pedestrian area was studied, and a significant factor was analyzed in detail. The simulation results were consistent with the field measurement results. The results showed that the coefficient of determination (R2) and root mean square error (RMSE) of PM2.5 were 0.907 and 0.89 mu g/m3, respectively. The R2 and RMSE of temperature were 0.909 and 3.145 degrees C, respectively. Among the different factors studied, the lane number and vehicle arrangement mode were relatively more significant regarding the diffusion of particulate matter. The traffic flow pattern had the least effect. In addition, an enumeration experiment method was used to study the effect of the number of lanes on the diffusion of particulate matter in the pedestrian area in Dalian. It was recommended that 6 lanes be chosen in the urban planning of street canyon roads with serious pollution and high traffic flow to protect the health of pedestrians and to meet the needs of traffic volume. This study quantified the effects of seven factors and proposed an accurate prediction model for pedestrian area, providing guidance for analyzing the factors of pollutant diffusion in street canyons to reduce pedestrian exposure risk and urban planning to a certain extent.</t>
  </si>
  <si>
    <t>[Song, Xiaocheng; Zhang, Yao; Zhang, Guoxin] DaLian Univ, Coll Civil Engn &amp; Architecture, DaLian 116622, Peoples R China; [Zhao, Yu] Dalian Univ Technol, Sch Infrastruct Engn, Dalian 116024, Peoples R China</t>
  </si>
  <si>
    <t>Dalian University; Dalian University of Technology</t>
  </si>
  <si>
    <t>Song, XC (corresponding author), DaLian Univ, Coll Civil Engn &amp; Architecture, DaLian 116622, Peoples R China.</t>
  </si>
  <si>
    <t>songxiaocheng@dlu.edu.cn</t>
  </si>
  <si>
    <t>10.1007/s12273-025-1232-z</t>
  </si>
  <si>
    <t>WOS:001405534400001</t>
  </si>
  <si>
    <t>Wang, XY; Jie, PY; Zhu, K; Grunewald, J; Xie, XP; Jin, X; Zhou, X; Shi, X</t>
  </si>
  <si>
    <t>Wang, Xiaoyu; Jie, Pengyu; Zhu, Ke; Grunewald, John; Xie, Xiaoping; Jin, Xing; Zhou, Xin; Shi, Xing</t>
  </si>
  <si>
    <t>Integration of moisture effects into urban building energy modeling</t>
  </si>
  <si>
    <t>urban building energy modeling; moisture effect; coupled heat and moisture transfer; microclimate; wind-driven rain</t>
  </si>
  <si>
    <t>HEAT; AIR; MICROCLIMATE; PREDICTION</t>
  </si>
  <si>
    <t>To address the limitations of current urban building energy modeling (UBEM), which often neglects moisture effects, we developed a comprehensive roadmap for modeling urban heat and moisture flows. This effort included developing an urban-scale whole-building heat and moisture transfer (HAMT) model that considers wind-driven rain, integrated with a microclimate model known as Urban Weather Generator (UWG). The proposed model was validated through analytical and comparative cases of whole-building hygrothermal performance analyses from the Annex 41 Project. The integrated whole-building and microclimate HAMT models were applied to a real urban building to assess the impact of moisture on annual energy predictions in a hot-humid region of Shanghai. The results show that incorporating moisture effects into the UBEM increases the annual cooling energy demand by 22.11% (5.92% owing to latent heat loads) and the annual heating loads by 6.06%, resulting in a 19.73% increase in the total annual energy loads. Additionally, the outer wall surface temperature decreases during and after rainfall events, with maximum decreases of 3.23 degrees C in winter and 8.80 degrees C in summer. Therefore, integrating moisture effects into UBEM is crucial, particularly in humid regions.</t>
  </si>
  <si>
    <t>[Wang, Xiaoyu; Jie, Pengyu; Zhu, Ke; Shi, Xing] Tongji Univ, Coll Architecture &amp; Urban Planning, 1239 Si Ping Rd, Shanghai 200092, Peoples R China; [Wang, Xiaoyu; Jie, Pengyu; Zhu, Ke; Shi, Xing] Minist Educ, Key Lab Ecol &amp; Energy Saving Study Dense Habitat, 1239 Si Ping Rd, Shanghai 200092, Peoples R China; [Grunewald, John; Xie, Xiaoping] Tech Univ Dresden, Inst Bldg Climatol, D-8027 Dresden, Germany; [Jin, Xing; Zhou, Xin] Southeast Univ, Sch Architecture, 2 Sipailou, Nanjing 210096, Peoples R China</t>
  </si>
  <si>
    <t>Tongji University; Technische Universitat Dresden; Southeast University - China</t>
  </si>
  <si>
    <t>Shi, X (corresponding author), Tongji Univ, Coll Architecture &amp; Urban Planning, 1239 Si Ping Rd, Shanghai 200092, Peoples R China.;Shi, X (corresponding author), Minist Educ, Key Lab Ecol &amp; Energy Saving Study Dense Habitat, 1239 Si Ping Rd, Shanghai 200092, Peoples R China.</t>
  </si>
  <si>
    <t>10.1007/s12273-025-1226-x</t>
  </si>
  <si>
    <t>WOS:001405535000001</t>
  </si>
  <si>
    <t>Cui, DJ; Liang, GZ; Tao, RJ; Hang, J; Chen, GW; Mak, CM</t>
  </si>
  <si>
    <t>Cui, Dongjin; Liang, Guozhu; Tao, Rongjian; Hang, Jian; Chen, Guanwen; Mak, Cheuk Ming</t>
  </si>
  <si>
    <t>Investigation of ventilation performance in the multi-story building with various envelope features: Scaled outdoor experiments</t>
  </si>
  <si>
    <t>multi-story building; envelope features; scaled outdoor experiment; wind momentum and thermal buoyancy effect; ventilation performance; air change per hour (ACH)</t>
  </si>
  <si>
    <t>WIND-TUNNEL MEASUREMENTS; CONVECTIVE HEAT-TRANSFER; NATURAL VENTILATION; AIR-FLOW; POLLUTANT DISPERSION; CFD SIMULATION; TRACER GAS; URBAN; BALCONIES; FACADE</t>
  </si>
  <si>
    <t>Previous research was limited to flat-fa &amp; ccedil;ade buildings when evaluating the indoor and outdoor ventilation performance in a multi-story building. However, envelope features can provide the shading effect to induce the temperature difference between surfaces exposed to direct solar radiation and those without solar radiation. This temperature difference between surfaces can enhance the thermal buoyancy and change indoor and outdoor ventilation performance. We conducted scaled outdoor experiments to examine the impact of various envelope features on indoor and outdoor ventilation performance in multi-story buildings. Compared to the flat-fa &amp; ccedil;ade multi-building, the average normalized horizontal airflow velocity of overhang, small wing wall, and large wing wall multi-buildings increased by 12.41%, 10.56%, and 5.56%, respectively. Cross-ventilation is more susceptible to envelope features than single-sided ventilation in air change per hour (ACH). Specifically, the ACH values of cross-ventilation for large wing wall, small wing wall, and balcony multi-buildings decreased by 69.98%, 25.79%, and 12.12% relative to the flat-fa &amp; ccedil;ade building. For the same envelope feature building, the ACH values of single-sided ventilation on the windward side are better than those on the leeward side, particularly the building with small wing walls, with an improvement of 12.77% compared to flat-fa &amp; ccedil;ade. This study contributes to advancing the understanding of urban ventilation, and provides a valid basis for designing envelope features in urban buildings.</t>
  </si>
  <si>
    <t>[Cui, Dongjin; Liang, Guozhu; Tao, Rongjian] Shenzhen Univ, Sch Architecture &amp; Urban Planning, Shenzhen 518060, Peoples R China; [Cui, Dongjin; Liang, Guozhu; Tao, Rongjian] Shenzhen Univ, State Key Lab Subtrop Bldg &amp; Urban Sci, Shenzhen 518060, Peoples R China; [Hang, Jian; Chen, Guanwen] Sun Yat Sen Univ, Sch Atmospher Sci, Zhuhai 519000, Peoples R China; [Mak, Cheuk Ming] Hong Kong Polytech Univ, Dept Bldg Serv Engn, Hong Kong, Peoples R China</t>
  </si>
  <si>
    <t>Shenzhen University; Shenzhen University; Sun Yat Sen University; Hong Kong Polytechnic University</t>
  </si>
  <si>
    <t>Hang, J (corresponding author), Sun Yat Sen Univ, Sch Atmospher Sci, Zhuhai 519000, Peoples R China.</t>
  </si>
  <si>
    <t>hangj3@mail.sysu.edu.cn</t>
  </si>
  <si>
    <t>10.1007/s12273-025-1234-x</t>
  </si>
  <si>
    <t>WOS:001401868900001</t>
  </si>
  <si>
    <t>Wu, ZJ; Li, MK; Liu, WL; Cheng, JCP; Wang, Z; Kwok, HHL; Huang, C; Hou, FL</t>
  </si>
  <si>
    <t>Wu, Zhaoji; Li, Mingkai; Liu, Wenli; Cheng, Jack C. P.; Wang, Zhe; Kwok, Helen H. L.; Huang, Cong; Hou, Fangli</t>
  </si>
  <si>
    <t>Developing surrogate models for the early-stage design of residential blocks using graph neural networks</t>
  </si>
  <si>
    <t>surrogate model; graph neural network; building performance prediction; sustainable building design; residential block</t>
  </si>
  <si>
    <t>ENERGY PERFORMANCE; OPTIMIZATION FRAMEWORK; BUILDING DESIGN</t>
  </si>
  <si>
    <t>Building simulation based on physical modeling is commonly adopted for performance prediction, but the high time costs hinder its application in the early design stage of buildings. Data-driven surrogate models have been proposed as a means to replicate computationally expensive simulation models. However, existing surrogate models for sustainable residential block design are limited in scope, focusing either on individual buildings or on specific cases within multi-block projects. This study leverages graph neural networks to develop optimal surrogate models incorporating inter-building effects to predict multiple indicators of sustainable performance for residential blocks at a region level. A graph schema is proposed to represent the general geometric features and relations among buildings in residential block design. A regional dataset is generated for model training and testing, using real residential zones in Hong Kong. The surrogate models are developed and evaluated, using two kinds of architectures (individual architectures for specific indicators and an integrative architecture) and three different neural networks (graph attention network (GAT), graph convolutional network, and artificial neural network). The results showed that the surrogate models using the individual architectures and GAT outperform the models using other architectures and neural networks. These surrogate models achieve a high prediction accuracy with CV(RMSE)s of 11.79%, 7.63%, and 8.00% in terms of energy consumption, indoor thermal comfort, and daylighting, respectively, on the regional test set. Moreover, they enable a significant acceleration of the performance evaluation, reducing the calculation time from 6.346 min to 1.565 ms (243,297 times) per case compared to physics-based simulations.</t>
  </si>
  <si>
    <t>[Wu, Zhaoji; Liu, Wenli; Cheng, Jack C. P.; Wang, Zhe; Kwok, Helen H. L.; Huang, Cong] Hong Kong Univ Sci &amp; Technol, Dept Civil &amp; Environm Engn, Hong Kong, Peoples R China; [Li, Mingkai] Natl Univ Singapore, Coll Design &amp; Engn, Dept Built Environm, Singapore, Singapore; [Wang, Zhe] HKUST Shenzhen Hong Kong Collaborat Innovat Res In, Futian, Shenzhen, Peoples R China; [Hou, Fangli] Hong Kong Univ Sci &amp; Technol Guangzhou, Internet Things Thrust, Informat Hub, Guangzhou, Peoples R China</t>
  </si>
  <si>
    <t>Hong Kong University of Science &amp; Technology; National University of Singapore; Hong Kong University of Science &amp; Technology (Guangzhou)</t>
  </si>
  <si>
    <t>Cheng, JCP; Wang, Z (corresponding author), Hong Kong Univ Sci &amp; Technol, Dept Civil &amp; Environm Engn, Hong Kong, Peoples R China.;Wang, Z (corresponding author), HKUST Shenzhen Hong Kong Collaborat Innovat Res In, Futian, Shenzhen, Peoples R China.</t>
  </si>
  <si>
    <t>cejcheng@ust.hk; cezhewang@ust.hk</t>
  </si>
  <si>
    <t>10.1007/s12273-025-1237-7</t>
  </si>
  <si>
    <t>WOS:001401939800001</t>
  </si>
  <si>
    <t>Fu, XT; Zhang, TL; Tao, YZ; Yan, SJ; Qi, F; Shen, YM</t>
  </si>
  <si>
    <t>Fu, Xiaotong; Zhang, Tailong; Tao, Yizhou; Yan, Shaojun; Qi, Feng; Shen, Yamei</t>
  </si>
  <si>
    <t>The impact of the three-dimensional greening index on pedestrian thermal comfort in summer street canyons</t>
  </si>
  <si>
    <t>street canyon; thermal comfort; ENVI-met; 3DGI; trees</t>
  </si>
  <si>
    <t>MEDITERRANEAN CITY; URBAN; SHADE; MICROCLIMATE; TEMPERATURES; SIMULATION; MORPHOLOGY; SURFACE; CANOPY; SPACES</t>
  </si>
  <si>
    <t>Trees have been proven to be an effective measure for improving thermal comfort in urban street canyons. Crown height (CH) and tree coverage ratio (TCR) are key factors for shading and cooling efficiency. However, the combined effect of these factors on PET from a three-dimensional perspective remains unclear. This study, using both field measurements and ENVI-met simulations, quantified the independent impacts of 102 tree planting strategies on pavement shading and PET. A three-dimensional greening index (3DGI) was further introduced to quantify the combined effects of these parameters. The results showed that the independent contribution of trees to shading primarily reduces radiative heat transfer, alleviating thermal discomfort. The thermal environment on both sides of the street exhibited significant heterogeneity, with the greatest contribution to shading observed on the north side of E-W street canyons. Based on these findings, the study proposed optimized tree planting strategies for different street orientations and provided the suitable 3DGI ranges for each street orientation, such as 536.30-548.95 for the east side of N-S street canyons. The study recommends prioritizing evergreen trees with greater CH, and adjusting TCR to ensure tree planting strategies on both sides are within the appropriate 3DGI range. Future research will further expand the application of 3DGI, integrating different climatic conditions and time scales to enhance urban residents' thermal comfort and improve their quality of life.</t>
  </si>
  <si>
    <t>[Fu, Xiaotong; Zhang, Tailong; Tao, Yizhou; Yan, Shaojun; Qi, Feng; Shen, Yamei] Zhejiang A&amp;F Univ, Sch Landscape Architecture, Hangzhou 311300, Peoples R China</t>
  </si>
  <si>
    <t>Zhejiang A&amp;F University</t>
  </si>
  <si>
    <t>Shen, YM (corresponding author), Zhejiang A&amp;F Univ, Sch Landscape Architecture, Hangzhou 311300, Peoples R China.</t>
  </si>
  <si>
    <t>yameishen@zafu.edu.cn</t>
  </si>
  <si>
    <t>10.1007/s12273-025-1224-z</t>
  </si>
  <si>
    <t>WOS:001401153200001</t>
  </si>
  <si>
    <t>Li, T; Yu, JY; Zhou, SY; Peng, XY; Ma, C; Li, GN; Mao, QJ</t>
  </si>
  <si>
    <t>Li, Tao; Yu, Junyong; Zhou, Shiyang; Peng, Xinyu; Ma, Chao; Li, Guannan; Mao, Qianjun</t>
  </si>
  <si>
    <t>Performance analysis and optimization of phase change material photovoltaic/thermoelectric hybrid system based on dual thermal channel</t>
  </si>
  <si>
    <t>dual thermal channel; photovoltaic/thermoelectric; phase change material; performance optimization; numerical simulation</t>
  </si>
  <si>
    <t>THERMOELECTRIC SYSTEM; FEASIBILITY; TEMPERATURE; PCM</t>
  </si>
  <si>
    <t>Photovoltaic cells are cooled by PCM and TEG to obtain better power generation performance. However, the thermal buildup of the PCM limits the power generation of the system. A photovoltaic phase change material hybrid thermoelectric power generation (PV/2T-PCM-TEG) system based on dual thermal channel is proposed by installing thermal channels in the PCM layer and the TEG layer. In this study, a numerical model of the hybrid system is established, the validity of the model is verified through experiments, and the thermoelectric performance of the hybrid system is analyzed. The effects of the inlet velocity and inlet temperature of the dual thermal channel on the thermoelectric performance of the system were also investigated. The results show that the average maximum temperature of PV is only 317.39 K, the average PV efficiency can reach 15.03%, the average power generation per unit area is 84.16 W/m2, and the average heating power is 139.57 W/m2. The increase of the inlet velocity of the dual thermal channel and the decrease of the inlet temperature enhance the overall performance of the system. The inlet velocity and inlet temperature of the TEG layer have a greater effect on the average total generation power, while it is the inlet velocity and inlet temperature of the PCM layer that have a greater effect on the average total thermal power. This study serves as a guide for the subsequent optimization and practical application of the system.</t>
  </si>
  <si>
    <t>[Li, Tao; Yu, Junyong; Zhou, Shiyang; Peng, Xinyu; Li, Guannan; Mao, Qianjun] Wuhan Univ Sci &amp; Technol, Sch Urban Construct, Wuhan 430065, Peoples R China; [Li, Tao; Li, Guannan; Mao, Qianjun] Wuhan Univ Sci &amp; Technol, Hubei Prov Engn Res Ctr Urban Regenerat, Wuhan 430081, Peoples R China; [Ma, Chao] China Construct Sci &amp; Technol Grp Co LTD, Beijing 100070, Peoples R China</t>
  </si>
  <si>
    <t>Wuhan University of Science &amp; Technology; Wuhan University of Science &amp; Technology</t>
  </si>
  <si>
    <t>10.1007/s12273-024-1222-6</t>
  </si>
  <si>
    <t>WOS:001397878700001</t>
  </si>
  <si>
    <t>Liu, DL; Wang, GQ; Feng, BC; Jiang, LH; Hu, SS</t>
  </si>
  <si>
    <t>Liu, Dalong; Wang, Guoqian; Feng, Bencheng; Jiang, Lihong; Hu, Songshu</t>
  </si>
  <si>
    <t>Research on non-uniform heat transfer testing of prefabricated walls based on infrared images</t>
  </si>
  <si>
    <t>prefabricated building; infrared thermal imaging; Gaussian mixture model; wall heat transfer; non-uniformity</t>
  </si>
  <si>
    <t>CONSTRUCTION; THERMOGRAPHY</t>
  </si>
  <si>
    <t>The combination of prefabricated type and low energy consumption has become the core development trend of the construction industry. However, existing studies often overlook non-uniform heat transfer testing of prefabricated walls based on infrared images. This paper aims to proposes a comprehensive evaluation index, incorporating cumulative temperature difference ratio and equivalent heat transfer coefficient, to analyze the non-uniform heat transfer characteristics of prefabricated exterior walls. The impact of non-uniform heat transfer on prefabricated exterior walls is assessed through non-uniform influence area and exterior wall heat transfer performance. To enhance efficiency, we employ image segmentation technology utilizing infrared thermal imaging to analyze and detect the non-uniform heat transfer patterns of prefabricated walls. The EM algorithm of an improved Gaussian mixture model is utilized for multi-classification on thermal imaging images, identifying non-uniform heat transfer affected areas and calculating the effective heat transfer coefficient. The results demonstrate the efficacy of a three-class Gaussian mixture model for visualizing non-uniform heat transfer influence areas. The image segmentation algorithm, improved based on the K-means clustering algorithm, exhibits superior performance in terms of PSNR, SSIM, and FSIM indicators. Furthermore, the proposed method enables automatic calculation of cumulative temperature difference ratio and equivalent heat transfer coefficient, showing within 5% and 10% error, respectively, compared to measured values. This study establishes a preliminary automatic recognition and calculation mode for thermal performance parameters of prefabricated walls. The findings can provide a convenient and rapid analysis of prefabricated walls thermal performance.</t>
  </si>
  <si>
    <t>[Liu, Dalong; Wang, Guoqian] Xian Univ Architecture &amp; Technol, Coll Architecture, Xian 710055, Peoples R China; [Feng, Bencheng; Jiang, Lihong] Xian Univ Architecture &amp; Technol, Coll Informat &amp; Control Engn, Xian 710399, Peoples R China; [Hu, Songshu] Shanghai Jianke Engn Consulting Co Ltd, Shanghai 200032, Peoples R China</t>
  </si>
  <si>
    <t>Liu, DL (corresponding author), Xian Univ Architecture &amp; Technol, Coll Architecture, Xian 710055, Peoples R China.</t>
  </si>
  <si>
    <t>coffeevc@xauat.edu.cn</t>
  </si>
  <si>
    <t>10.1007/s12273-024-1223-5</t>
  </si>
  <si>
    <t>WOS:001399454800001</t>
  </si>
  <si>
    <t>Wang, HH; Wang, Q; Fu, ZW; Tang, J; Chan, PW; Zheng, X</t>
  </si>
  <si>
    <t>Wang, Huanhuan; Wang, Qun; Fu, Zhaowan; Tang, Jia; Chan, Pak Wai; Zheng, Xing</t>
  </si>
  <si>
    <t>Wind impacts on buildings in Hong Kong during super Typhoon Mangkhut</t>
  </si>
  <si>
    <t>CFD; super typhoon; fluid dynamics; acceleration; tropical cyclones</t>
  </si>
  <si>
    <t>MODEL; SIMULATION; GLASS</t>
  </si>
  <si>
    <t>Typhoons, among the most devastating natural hazards, have caused billions in property losses and posed significant threats to human safety globally. Damage to urban structures, particularly building windows, constitutes a major component of direct losses caused by typhoons. This study investigates wind impacts on buildings using large-eddy simulations (LES) in three neighbourhoods where window shattering occurred in Hong Kong during Typhoon Mangkhut. The focus is on three buildings among which two had shattered window glass multiple times in the past years during typhoons. It is commonly believed that wind pressure exceeding a threshold for window breakage is the primary cause. However, our results indicate that the maximum pressure on target walls where window breakage occurred can only reach up to -1.90 kPa, which does not exceed the threshold of the Hong Kong standard for curtain walls set at -2.86 kPa. The maximum pressure in the neighborhood can reach up to -5.47 kPa, occurring in regions of high wind speed downstream of the tallest buildings, where the Venturi effect and downwash effect combine. Although the wind speed and pressure are not as high as expected, the turbulence kinetic energy is extremely high. Therefore, designing curtain walls may need to consider wind speed, pressure, and turbulence to ensure structural resilience and safety.</t>
  </si>
  <si>
    <t>[Wang, Huanhuan; Fu, Zhaowan; Tang, Jia] Univ Hong Kong, Dept Mech Engn, Pokfulam Rd, Hong Kong, Peoples R China; [Wang, Qun] Macau Univ Sci &amp; Technol, Macao Environm Res Inst, Natl Observat &amp; Res Stn Coastal Ecol Environm Maca, Taipa, Macao, Peoples R China; [Chan, Pak Wai] Hong Kong Observ, Forecasting &amp; Warning Serv Branch, Hong Kong, Peoples R China; [Zheng, Xing] City Univ Hong Kong, Dept Architecture &amp; Civil Engn, Kowloon, Tat Chee Ave, Hong Kong, Peoples R China</t>
  </si>
  <si>
    <t>University of Hong Kong; Macau University of Science &amp; Technology; City University of Hong Kong</t>
  </si>
  <si>
    <t>Zheng, X (corresponding author), City Univ Hong Kong, Dept Architecture &amp; Civil Engn, Kowloon, Tat Chee Ave, Hong Kong, Peoples R China.</t>
  </si>
  <si>
    <t>xzehng@cityu.edu.hk</t>
  </si>
  <si>
    <t>10.1007/s12273-024-1218-2</t>
  </si>
  <si>
    <t>WOS:001399398200001</t>
  </si>
  <si>
    <t>Bi, Y; Hu, N; Sadeghian, P; Sadrizadeh, S; Af Morgenstierne, MAV; Mathisen, HM; Larkermani, E; Georges, L; Cao, GY</t>
  </si>
  <si>
    <t>Bi, Yang; Hu, Nan; Sadeghian, Parastoo; Sadrizadeh, Sasan; Af Morgenstierne, Marina Asuero Von Munthe; Mathisen, Hans Martin; Larkermani, Elyas; Georges, Laurent; Cao, Guangyu</t>
  </si>
  <si>
    <t>Numerical study on the application of low-turbulence air curtain surrounding laminar airflow distribution in operating rooms</t>
  </si>
  <si>
    <t>operating room; laminar airflow; surgical site infection; ventilation; colony forming unit (CFU)</t>
  </si>
  <si>
    <t>SURGICAL SITE INFECTION; PARTICLE DISTRIBUTION; PREVENTION; DEPOSITION; CONTAMINATION; VENTILATION; SIMULATION; VELOCITY; IMPACT; MODEL</t>
  </si>
  <si>
    <t>Laminar airflow (LAF) is essential for maintaining a sterile environment in operating rooms, but its rapid unidirectional flow decay leads to low airflow efficiency and increases energy consumption. The objective of this study is to investigate the energy-saving and air quality benefits of using a low-turbulence air curtain around laminar airflow, which is referred to as protective laminar airflow (PLAF). Numerical simulations were used to model airflow and particle transport, and a series of experiments were conducted in a real operating room at St. Olavs Hospital, Norway, to validate the simulation results. The findings indicate that when the unidirectional airflow supply velocity is maintained at 0.25 m/s, combined with an air curtain that has the width of 2 cm and the velocity of 1.5 m/s, the PLAF system outperforms the conventional LAF system operating at a unidirectional airflow supply velocity of 0.30 m/s. This configuration results in a 17.3% energy saving, showing the potential of this airflow distribution strategy to enhance both cleanliness and energy efficiency.</t>
  </si>
  <si>
    <t>[Bi, Yang; Mathisen, Hans Martin; Larkermani, Elyas; Georges, Laurent; Cao, Guangyu] Norwegian Univ Sci &amp; Technol, Dept Energy &amp; Proc Engn, Trondheim, Norway; [Bi, Yang] Shanghai Jiao Tong Univ, Inst Refrigerat &amp; Cryogen, Shanghai, Peoples R China; [Hu, Nan; Sadrizadeh, Sasan] KTH Royal Inst Technol, Dept Civil &amp; Architectural Engn, Stockholm, Sweden; [Sadeghian, Parastoo] Blueair AB, Stockholm, Sweden; [Af Morgenstierne, Marina Asuero Von Munthe] Multiconsult AS, Trondheim, Norway</t>
  </si>
  <si>
    <t>Norwegian University of Science &amp; Technology (NTNU); Shanghai Jiao Tong University; Royal Institute of Technology</t>
  </si>
  <si>
    <t>Bi, Y (corresponding author), Norwegian Univ Sci &amp; Technol, Dept Energy &amp; Proc Engn, Trondheim, Norway.;Bi, Y (corresponding author), Shanghai Jiao Tong Univ, Inst Refrigerat &amp; Cryogen, Shanghai, Peoples R China.</t>
  </si>
  <si>
    <t>yang.bi@ntnu.no</t>
  </si>
  <si>
    <t>10.1007/s12273-024-1229-7</t>
  </si>
  <si>
    <t>WOS:001396187900001</t>
  </si>
  <si>
    <t>Luo, X; Li, TT; Wu, H; Wang, YP</t>
  </si>
  <si>
    <t>Luo, Xi; Li, Tingting; Wu, Hui; Wang, Yupan</t>
  </si>
  <si>
    <t>Flexibility evaluation and optimal scheduling of flexible energy loads considering association characteristics in residential buildings</t>
  </si>
  <si>
    <t>renewable energy; flexible energy loads; loads association characteristics; optimal scheduling; energy flexibility</t>
  </si>
  <si>
    <t>DEMAND RESPONSE; MANAGEMENT; BEHAVIOR</t>
  </si>
  <si>
    <t>The existing researches on the flexibility evaluation and optimal scheduling of flexible loads in residential buildings do not fully consider the association characteristics of different loads, resulting in a large deviation between the calculated results and experimental results of optimization scheduling. A flexibility evaluation methodology and an optimization model considering load associations characteristics are proposed for flexible loads in residential buildings. Temporal flexibility ratio, which is the ratio of temporal flexibility considering association characteristics to that without considering association characteristics, is defined in this study. The optimization model is solved using the CPLEX solver under three different scenarios, namely, a scenario only considering the temporal overlapping load associations, a scenario only considering the temporal non-overlapping load associations, and a scenario considering both types of load associations. It was shown that in the residential building case in this study, the cooking loads with association characteristics exhibit less temporal flexibility but higher temporal flexibility ratio of up to 71.21%, while laundry loads exhibit higher temporal flexibility, but their temporal flexibility ratio is only around 36.84%. Additionally, when the users adopted the time of use (TOU) price, their electricity costs under the three considered scenarios increased by 0.00%, 7.57%, and 7.57% relative to the scenario without considering load associations, respectively. When installing a 3-kW household photovoltaic system, the electricity costs under the three scenarios increased by 0.00%, 1.28%, and 1.28%, respectively. As highlighted in the results, temporal non-overlapping association characteristics greatly affect the optimal scheduling of flexible energy loads, especially under TOU, while temporal overlapping association characteristics have little effect on that.</t>
  </si>
  <si>
    <t>[Luo, Xi; Li, Tingting; Wu, Hui; Wang, Yupan] Xian Univ Architecture &amp; Technol, Sch Bldg Serv Sci &amp; Engn, Xian 710055, Peoples R China; [Luo, Xi] State Key Lab Green Bldg, Xian 710055, Peoples R China</t>
  </si>
  <si>
    <t>Luo, X (corresponding author), Xian Univ Architecture &amp; Technol, Sch Bldg Serv Sci &amp; Engn, Xian 710055, Peoples R China.;Luo, X (corresponding author), State Key Lab Green Bldg, Xian 710055, Peoples R China.</t>
  </si>
  <si>
    <t>10.1007/s12273-024-1191-9</t>
  </si>
  <si>
    <t>WOS:001396210300001</t>
  </si>
  <si>
    <t>Meng, H; Bin, HJ; Qian, FY; Xu, TT; Wang, CL; Liu, W; Yao, YT; Ruan, YJ</t>
  </si>
  <si>
    <t>Meng, Hua; Bin, Huaijiang; Qian, Fanyue; Xu, Tingting; Wang, Chaoliang; Liu, Wei; Yao, Yuting; Ruan, Yingjun</t>
  </si>
  <si>
    <t>Enhanced reinforcement learning-model predictive control for distributed energy systems: Overcoming local and global optimization limitations</t>
  </si>
  <si>
    <t>operation optimization; distributed energy systems; model predictive control; reinforcement learning; reinforcement learning-model predictive control</t>
  </si>
  <si>
    <t>MANAGEMENT; OPERATION</t>
  </si>
  <si>
    <t>The complex structures of distributed energy systems (DES) and uncertainties arising from renewable energy sources and user load variations pose significant operational challenges. Model predictive control (MPC) and reinforcement learning (RL) are widely used to optimize DES by predicting future outcomes based on the current state. However, MPC's real-time application is constrained by its computational demands, making it less suitable for complex systems with extended predictive horizons. Meanwhile, RL's model-free approach leads to suboptimal data utilization, limiting its overall performance. To address these issues, this study proposes an improved reinforcement learning-model predictive control (RL-MPC) algorithm that combines the high-precision local optimization of MPC with the global optimization capability of RL. In this study, we enhance the existing RL-MPC algorithm by increasing the number of optimization steps performed by the MPC component. We evaluated RL, MPC, and the enhanced RL-MPC on a DES comprising a photovoltaic (PV) and battery energy storage system (BESS). The results indicate the following: (1) The twin delayed deep deterministic policy gradient (TD3) algorithm outperforms other RL algorithms in energy cost optimization, but is outperformed in all cases by RL-MPC. (2) For both MPC and RL-MPC, when the mean absolute percentage error (MAPE) of the first-step prediction is 5%, the total cost increases by similar to 1.2% compared to that when the MAPE is 0%. However, if the accuracy of the initial prediction data remains constant while only the error gradient of the data sequence increases, the total cost remains nearly unchanged, with an increase of only similar to 0.1%. (3) Within a 12 h predictive horizon, RL-MPC outperforms MPC, suggesting it as a suitable alternative to MPC when high-accuracy prediction data are limited.</t>
  </si>
  <si>
    <t>[Meng, Hua; Bin, Huaijiang; Qian, Fanyue; Xu, Tingting; Yao, Yuting; Ruan, Yingjun] Tongji Univ, Coll Mech &amp; Energy Engn, Shanghai 200092, Peoples R China; [Wang, Chaoliang; Liu, Wei] State Grid Zhejiang Mkt Serv Ctr, Hangzhou 310014, Peoples R China</t>
  </si>
  <si>
    <t>Yao, YT; Ruan, YJ (corresponding author), Tongji Univ, Coll Mech &amp; Energy Engn, Shanghai 200092, Peoples R China.</t>
  </si>
  <si>
    <t>24310012@tongji.edu.cn; ruanyj@tongji.edu.cn</t>
  </si>
  <si>
    <t>10.1007/s12273-024-1227-9</t>
  </si>
  <si>
    <t>WOS:001396148400001</t>
  </si>
  <si>
    <t>Wang, M; Zhang, XK; Zhang, R; Wang, HM; Xiong, JY</t>
  </si>
  <si>
    <t>Wang, Meng; Zhang, Xuankai; Zhang, Rui; Wang, Haimei; Xiong, Jianyin</t>
  </si>
  <si>
    <t>Impact of interior material selection on the concentration levels of formaldehyde in vehicle cabin environment</t>
  </si>
  <si>
    <t>interior material; formaldehyde; volatile organic compounds (VOCs); multi-source emission; vehicle cabin; source control</t>
  </si>
  <si>
    <t>VOLATILE ORGANIC-COMPOUNDS; C-HISTORY METHOD; EMISSION CHARACTERISTIC PARAMETERS; BUILDING-MATERIALS; VOC EMISSIONS; PARTITION-COEFFICIENTS; AIR-QUALITY; MODEL; DIFFUSION</t>
  </si>
  <si>
    <t>Air pollution in vehicle cabin environment has gained increasing concern recently. This study addresses the necessity to predict and regulate the emissions of volatile organic compounds (VOCs) from interior materials to improve in-cabin air quality. We focus on how the selection of interior materials influences formaldehyde concentration levels under multi-source emission scenarios. Chamber experiments were conducted to determine the three key parameters of formaldehyde emissions from five typical interior materials (carpet, car door, sealing strip, and two adhesives) using the C-history method. By applying a multi-source emission model with the measured key parameters, various cabin emission scenarios are predicted and evaluated. Comparison of formaldehyde concentration levels between experimental data and simulated results demonstrates the effectiveness of the model. Analysis based on the model indicates that adhesives contribute significantly to in-cabin air pollution, and the impact of different key parameters on the emission behaviors is different. Adhesives with higher ratio of initial emittable concentration to partition coefficient will prolong the emission period and increase the health risks. The ventilation requirements for different multi-source emission scenarios are also quantified. These results underscore the critical role of material selection in controlling formaldehyde emissions and the necessity of developing low-emitting materials to improve air quality and occupant safety in vehicle cabins.</t>
  </si>
  <si>
    <t>[Wang, Meng; Zhang, Xuankai; Zhang, Rui; Wang, Haimei; Xiong, Jianyin] Beijing Inst Technol, Sch Mech Engn, Beijing 100081, Peoples R China; [Xiong, Jianyin] Xian Univ Architecture &amp; Technol, State Key Lab Green Bldg, Xian 710055, Peoples R China</t>
  </si>
  <si>
    <t>Beijing Institute of Technology; Xi'an University of Architecture &amp; Technology</t>
  </si>
  <si>
    <t>Xiong, JY (corresponding author), Beijing Inst Technol, Sch Mech Engn, Beijing 100081, Peoples R China.;Xiong, JY (corresponding author), Xian Univ Architecture &amp; Technol, State Key Lab Green Bldg, Xian 710055, Peoples R China.</t>
  </si>
  <si>
    <t>10.1007/s12273-025-1225-y</t>
  </si>
  <si>
    <t>WOS:001396158900001</t>
  </si>
  <si>
    <t>Zhao, BX; Cao, XD; Zhang, SC; Ren, JL; Li, JY</t>
  </si>
  <si>
    <t>Zhao, Bingxu; Cao, Xiaodong; Zhang, Shicong; Ren, Jianlin; Li, Jiayu</t>
  </si>
  <si>
    <t>Day-ahead energy management of a smart building energy system aggregated with electrical vehicles based on distributionally robust optimization</t>
  </si>
  <si>
    <t>building energy system; electric vehicles; carbon trading; distributionally robust optimization; price-based demand response; Stackelberg game</t>
  </si>
  <si>
    <t>OPERATION; STRATEGY; STATIONS; DESIGN; MODEL</t>
  </si>
  <si>
    <t>With the adjustment of the energy structure and the rapid development of commercial complex buildings, building energy systems (BES) are playing an increasingly important role. To fully utilize smart building management techniques for coordinating and optimizing energy systems while limiting carbon emissions, this study proposes a smart building energy scheduling method based on distributionally robust optimization (DRO). First, a framework for day-ahead market interaction between the distribution grid (DG), buildings, and electric vehicles (EVs) is established. Based on the the price elasticity matrix principle, demand side management (DSM) technology is used to model the price-based demand response (PBDR) of building electricity load. Meanwhile, the thermal inertia and thermal load flexibility of the building heating system are utilized to leverage the energy storage capabilities of the heating system. Second, a Wasserstein DRO Stackelberg game model is constructed with the objective of maximizing the benefits for both buildings and EVs. This Wasserstein distributionally robust model is then transformed into a mixed-integer model by combining the Karush-Kuhn-Tucker (KKT) conditions and duality theory. Finally, the optimization effect of temperature load storage characteristics on BES flexible scheduling and the coordination of DRO indicators on the optimization results were verified through simulations. The strategy proposed in this article can reduce the total operating cost of BES by 26.37%, significantly enhancing economic efficiency and achieving electricity and heat substitution, resulting in a smoother load curve. This study provides a theoretical foundation and assurance for optimal daily energy scheduling of BES.</t>
  </si>
  <si>
    <t>[Zhao, Bingxu; Cao, Xiaodong] Beihang Univ, Sch Aeronaut Sci &amp; Engn, Beijing 100191, Peoples R China; [Zhao, Bingxu; Cao, Xiaodong] Tianmushan Lab, Hangzhou 311115, Peoples R China; [Zhang, Shicong] China Acad Bldg Res, Inst Bldg Environm &amp; Energy, Beijing 100013, Peoples R China; [Ren, Jianlin] Hebei Univ Technol, Sch Energy &amp; Environm Engn, Tianjin 300401, Peoples R China; [Li, Jiayu] Univ Calif Berkeley, Ctr Built Environm, Berkeley, CA 94720 USA</t>
  </si>
  <si>
    <t>Beihang University; Tianmushan Lab; Hebei University of Technology; University of California System; University of California Berkeley</t>
  </si>
  <si>
    <t>Cao, XD (corresponding author), Beihang Univ, Sch Aeronaut Sci &amp; Engn, Beijing 100191, Peoples R China.;Cao, XD (corresponding author), Tianmushan Lab, Hangzhou 311115, Peoples R China.</t>
  </si>
  <si>
    <t>caoxiaodong@buaa.edu.cn</t>
  </si>
  <si>
    <t>10.1007/s12273-024-1219-1</t>
  </si>
  <si>
    <t>WOS:001426824900001</t>
  </si>
  <si>
    <t>Zhang, C; Bai, YQ; Cao, ZX; Yang, ZF; Zhao, TT; Zhai, C; Lv, WC; Wang, Y</t>
  </si>
  <si>
    <t>Zhang, Chen; Bai, Yuqing; Cao, Zhixiang; Yang, Zefang; Zhao, Tongtong; Zhai, Chao; Lv, Wenchao; Wang, Yi</t>
  </si>
  <si>
    <t>Critical factors to formatting and stabilizing the vortex flow in the vortex ventilation system</t>
  </si>
  <si>
    <t>vortex ventilation system; column air vortex; transient CFD; swirl ratio; angular momentum</t>
  </si>
  <si>
    <t>AIR; PERFORMANCE; SIMULATION; VORTICES; LES</t>
  </si>
  <si>
    <t>Vortex ventilation, which utilizes vortex airflow to effectively transport pollutants over long distances, is a promising method for pollution control in large spatial structures. The performance of vortex ventilation heavily depends on the stable generation and maintenance of column vortex airflow, necessitating a comprehensive understanding of the interactions among supply airflow, exhaust airflow, and pollutant airflow. In this study, experimental method and transient computational fluid dynamics (CFD) method were employed to quantitatively analyze the influence of supply airflow characteristics and parameters on the formation of vortex airflow. It was found that impingements between supply jet streams significantly affect the generation of vortex ventilation. Based on variations in the flow shape of supply jet streams, the process of vortex airflow formation can be divided into three stages: initiation, oscillation, and stabilization. As the airflow rate increases, the impingement effect between the air jet streams makes the vortex unstable and the vortex intensity decreases. Optimization strategies were proposed to modify system geometry, including increasing the number of supply air inlets, adjusting the horizontal deflection angle of supply air, and enlarging the size of supply air inlets. Increasing the horizontal deflection angle of supply air was shown to minimize the negative pressure within the flow field to a minimum of -12 Pa and reduce the coefficient of variation to a minimum of 0.01, which proved most effective in enhancing vortex stability.</t>
  </si>
  <si>
    <t>[Cao, Zhixiang; Wang, Yi] Xian Univ Architecture &amp; Technol, State Key Lab Green Bldg, 13 Yanta RD, Xian 710055, Shaanxi, Peoples R China; [Zhang, Chen; Bai, Yuqing; Cao, Zhixiang; Yang, Zefang; Zhao, Tongtong; Zhai, Chao; Lv, Wenchao; Wang, Yi] Xian Univ Architecture &amp; Technol, Sch Bldg Serv Sci &amp; Engn, 13 Yanta Rd, Xian 710055, Shaanxi, Peoples R China</t>
  </si>
  <si>
    <t>Cao, ZX (corresponding author), Xian Univ Architecture &amp; Technol, State Key Lab Green Bldg, 13 Yanta RD, Xian 710055, Shaanxi, Peoples R China.;Cao, ZX (corresponding author), Xian Univ Architecture &amp; Technol, Sch Bldg Serv Sci &amp; Engn, 13 Yanta Rd, Xian 710055, Shaanxi, Peoples R China.</t>
  </si>
  <si>
    <t>caozx@xauat.edu.cn</t>
  </si>
  <si>
    <t>10.1007/s12273-024-1221-7</t>
  </si>
  <si>
    <t>WOS:001390936900001</t>
  </si>
  <si>
    <t>Zheng, S; Hao, FL; Lu, YC; Jiang, TT; Yang, XD</t>
  </si>
  <si>
    <t>Zheng, Shu; Hao, Fulin; Lu, Youcun; Jiang, Tingting; Yang, Xudong</t>
  </si>
  <si>
    <t>A method for quantitatively evaluating the impact of defects on wall U-value using infrared thermal imaging</t>
  </si>
  <si>
    <t>infrared thermography; thermal defects; heat transfer coefficient; K-means algorithm; thermal defect quantification</t>
  </si>
  <si>
    <t>ENERGY EFFICIENCY; THERMOGRAPHY; QUANTIFICATION; PERFORMANCE; BUILDINGS; BRIDGES</t>
  </si>
  <si>
    <t>The presence of walls' thermal defects can lead to large deviations between predicted and actual values of energy consumption. Infrared images have been used to compare the differences in U-value (heat transfer coefficient) and heat flow between defect and normal building walls. However, the extent to which different defects affect the U-value of building walls remains to be investigated. This study proposes a method for evaluating the impact of various defects on the U-value of building wall envelopes. Infrared images were acquired for a building in Beijing, China to demonstrate the method. First, the accuracy of the method for measuring heat flow through building walls was validated using the heat flow meter method. Second, the K-means method was applied to classify wall pixel temperatures and to identify defects of building walls. The area and boundary of defects were got. Then, the validated infrared method was used to calculate the U-value for different defects. Finally, the difference in heat transfer coefficients (Delta Usd\documentclass[12pt]{minimal} \usepackage{amsmath} \usepackage{wasysym} \usepackage{amsfonts} \usepackage{amssymb} \usepackage{amsbsy} \usepackage{mathrsfs} \usepackage{upgreek} \setlength{\oddsidemargin}{-69pt} \begin{document}$$\Delta\overline{U_{\text{sd}}}$$\end{document}) was used to evaluate the impact of various defects on the building wall. The results indicated that variations in the area and temperature of defects contributed differently to the wall's U-value. The maximum difference between the U-value of the repaired defect and the unrepaired wall is 0.42 W/(m2K). The method proposed in this study quantitatively assesses the extent to which defects affect the U-value of a building wall, providing reference data for making decisions regarding wall renovation.</t>
  </si>
  <si>
    <t>[Zheng, Shu; Hao, Fulin; Jiang, Tingting; Yang, Xudong] Tsinghua Univ, Dept Bldg Sci, Beijing 100084, Peoples R China; [Lu, Youcun] China Nucl Power Technol Res Inst Co Ltd, Shenzhen 518000, Peoples R China; [Yang, Xudong] Tsinghua Univ, Shanxi Res Inst Clean Energy, Taiyuan 030032, Peoples R China</t>
  </si>
  <si>
    <t>Yang, XD (corresponding author), Tsinghua Univ, Dept Bldg Sci, Beijing 100084, Peoples R China.;Yang, XD (corresponding author), Tsinghua Univ, Shanxi Res Inst Clean Energy, Taiyuan 030032, Peoples R China.</t>
  </si>
  <si>
    <t>xyang@tsinghua.edu.cn</t>
  </si>
  <si>
    <t>10.1007/s12273-024-1213-7</t>
  </si>
  <si>
    <t>WOS:001390903600001</t>
  </si>
  <si>
    <t>Gan, WN; Li, XL; Fang, JZ; Feng, C</t>
  </si>
  <si>
    <t>Gan, Weinan; Li, Xiaolong; Fang, Jinzhong; Feng, Chi</t>
  </si>
  <si>
    <t>Influence of input uncertainty on the 1-D hygrothermal simulation of composite walls in China</t>
  </si>
  <si>
    <t>probabilistic method; hygrothermal performance; uncertainty analysis; sensitivity analysis; 1-D hygrothermal process</t>
  </si>
  <si>
    <t>EXPERIMENTAL-DATA SET; HYGROSCOPIC BUILDING-MATERIALS; MOISTURE TRANSFER MODELS; SENSITIVITY-ANALYSIS; BENCHMARKING 1-D; TRANSIENT HEAT; COUPLED HEAT; AIR</t>
  </si>
  <si>
    <t>In hygrothermal simulations, uncertainties in input parameters affect the reliability of outputs, potentially leading to erroneous judgments about building performance. This study proposes a probabilistic method to comprehensively evaluate input uncertainties in the simulated hygrothermal performance of 1-D composite walls in five thermal design zones in China. Specifically, input parameters are categorized into discrete (e.g., insulation type) and continuous (e.g., thermal conductivity) parameters. The discrete parameters form 160 basic simulation scenarios. For each scenario, 400 uniform random samples are generated within given ranges of continuous parameters using Latin hypercube sampling, resulting in 64,000 simulation cases. Heat flux, moisture flux, moisture content, interstitial condensation, mold growth and frost damage are used as indicators for the hygrothermal performance, and multiple linear regression analysis is used to determine the most influential continuous parameters. The results indicate that the thermal conductivity of insulation materials has the greatest influence on the average heat flux, interstitial condensation risk, mold growth risk, and freeze/thaw cycles. The moisture retention curve and vapor diffusion resistance factor of structural materials significantly influence the average moisture flux. The moisture retention curve of structural materials has the most influence on the average moisture content of the structural layer. This study elucidates the most critical input parameters for different thermal design zones in China and other similar climate regions.</t>
  </si>
  <si>
    <t>[Gan, Weinan; Li, Xiaolong; Fang, Jinzhong; Feng, Chi] Chongqing Univ, Sch Architecture &amp; Urban Planning, Chongqing 400045, Peoples R China; [Gan, Weinan; Li, Xiaolong; Fang, Jinzhong; Feng, Chi] Chongqing Univ, Key Lab New Technol Construction Cities Mt Area, Minist Educ, Chongqing 400045, Peoples R China</t>
  </si>
  <si>
    <t>Chongqing University; Chongqing University</t>
  </si>
  <si>
    <t>Feng, C (corresponding author), Chongqing Univ, Sch Architecture &amp; Urban Planning, Chongqing 400045, Peoples R China.;Feng, C (corresponding author), Chongqing Univ, Key Lab New Technol Construction Cities Mt Area, Minist Educ, Chongqing 400045, Peoples R China.</t>
  </si>
  <si>
    <t>10.1007/s12273-024-1204-8</t>
  </si>
  <si>
    <t>WOS:001388228100001</t>
  </si>
  <si>
    <t>Zhejiang University; University of Cambridge; Zhejiang University; Eindhoven University of Technology; Zhejiang University; Alan Turing Institute</t>
  </si>
  <si>
    <t>VISUAL COMFORT; ENVIRONMENTS; SIMULATION; DESIGN</t>
  </si>
  <si>
    <t>BACTERIAL AEROSOLS; REDUCTION; PARTICLES; EFFICACY; DYNAMICS; DEVICE; SALIVA</t>
  </si>
  <si>
    <t>Cities around the world are exposed to increasing heat stress as a result of the heat island effect exacerbated by extreme weather events, population growth and increased urbanization. To promote outdoor activities and protect human health, there is an urgent need for a tool to assess the outdoor thermal environment. While the air temperature (T-a) and relative humidity (RH) are usually available from weather stations, but the mean radiant temperature (MRT) cannot. The MRT is a key variable in determining outdoor thermal comfort. Therefore, it is necessary to develop a simple and accurate method for calculating MRT, in order to compute the corresponding thermal indices, which can be used to assess the thermal environment more accurately. This study was conducted at a university in Guangzhou, China. Four different ground-cover surfaces (concrete, asphalt, lawn, and granite) were selected for study. The T-a, black-globe temperature (T-g), long-wave (L), and short-wave (K) radiation in six directions, and wind speeds (V-a) were measured under unshaded conditions. The MRT obtained by the six-direction integral method was used as the base value and regression analyses were performed with T-a, K down arrow (downward short-wave), and V-a. In addition, the six indices-significance (P), linear regression coefficient (R-2), consistency index (d), root mean square error (RMSE), mean bias error (MBE), and mean absolute error (MAE)-were used for quantitative analysis to explore the feasibility of this method. This study compared five calculation models on MRT: MRTSDIM (six-direction integral method), MRTBGTM-Va-0.1Hz (black-globe thermometer method, 0.1 Hz wind speed measurement frequency), MRTBGTM-Va-10Hz (black-globe thermometer method, 10 Hz wind speed measurement frequency), MRTBGTM-P (polynomial regression based on black-globe thermometer method), and MRTSDIM-P (polynomial regression based on six-direction integral method). The MRTSDIM was used as a baseline value, and the values obtained by other four methods were discussed and validated separately. The results show that the calculation model about MRTSDIM-P has a relatively minimal error with the values &lt;= 5 degrees C, which satisfies the accuracy requirements for thermal stress. Finally, the data from each area weather station were substituted into the model and compared with the actual measurement days, and the monthly mean and maximum universal thermal climate index (UTCI) were calculated for the entire Guangzhou daytime in 2022. The results obtained from the weather station data calculations fit well with the measured data. Consequently, this study provides a simple method of calculation for outdoor mean radiant temperature. Further, based on the calculated thermal indices, recommendations can be provided for outdoor work and activities.</t>
  </si>
  <si>
    <t>URBAN; PHOTOSYNTHESIS; COMFORT</t>
  </si>
  <si>
    <t>Urban greenery is widely recognised as a strategy to mitigate urban overheating, and its shading capacity is crucial for improving microclimate and thermal comfort. Nevertheless, research on modelling the vegetation canopy radiation transfer (VCRT) process for the microscale is lacking, and most existing VCRT models are taken out from mesoscale models. In this study, we used canopy morphology and structure as an entry point to construct a VCRT model for the microscale, from the mesoscale model. Firstly, 100 m and 1000 m were defined as the critical scales by scaling, and the effect of leaf distribution on VCRT was analysed. The VCRT model was made applicable to the microscale by introducing a scattered radiation source term and 6 leaf inclination distribution (LID) functions, and the results showed that the proposed model could improve the accuracy of canopy radiation absorptivity by about 11%. In addition, both leaf area index (LAI) and LID had significant effects on VCRT, and vegetation with LAI above 2 and spreading leaves had better shading effects. It is worth noting that urban greenery has an exciting potential for thermal comfort improvement, with the potential to regulate even extremely hot weather from near very hot (148 W/m(2)) to almost comfortable (69 W/m(2)). This study is a catalyst for improving the predictability of the VCRT process for microclimate and thermal comfort, providing theoretical support and implications for mitigating urban overheating and enhancing urban thermal resilience.</t>
  </si>
  <si>
    <t>[Yan, Junru; Sun, Xiufeng] Southwest Univ, Coll Hort &amp; Landscape Architecture, Key Lab Agr Biosafety &amp; Green Prod Upper Yangtze, Minist Educ, Chongqing 400715, Peoples R China; [Yan, Junru; Zhao, Lihua; Zhao, Huihui] South China Univ Technol, Sch Architecture, State Key Lab Subtrop Bldg &amp; Urban Sci, Guangzhou 510640, Peoples R China; [Zheng, Haichao] Shandong Jianzhu Univ, Sch Architecture &amp; Urban Planning, Jinan 250100, Peoples R China; [Wang, Yu] Yangtze Normal Univ, Sch Adv Agr &amp; Bioengn, Chongqing 408100, Peoples R China</t>
  </si>
  <si>
    <t>[Mendes, Vitor Freitas; Mendes, Julia Castro] Univ Fed Ouro Preto UFOP, Programa Pos Graduacao Engenharia Civil PROPEC, BR-35400000 Ouro Preto Minas Gerais, Brazil; [Mendes, Vitor Freitas] Ciencia Tecnol Minas Gerais IFMG, Inst Fed Educacao, Campus Santa Luzia, BR-33115390 Santa Luzia, Minas Gerais, Brazil; [Cruz, Alexandre Santana] Univ Fed Rio Janeiro UFRJ, Programa Posgrad Arquitetura PROARQ, BR-21941972 Rio De Janeiro, Brazil; [Gomes, Adriano Pinto] Inst Fed Minas Gerais IFMG, Area Desenho Projeto, BR-35400000 Ouro Preto, Minas Gerais, Brazil; [Mendes, Julia Castro] Univ Fed Juiz Fora UFJF, Programa Pos Graduaco Engenharia Civil PEC, BR-36036900 Juiz De Fora, Minas Gerais, Brazil</t>
  </si>
  <si>
    <t>Universidade Federal do Rio de Janeiro; Instituto Federal de Educacao, Ciencia e Tecnologia de Minas Gerais (IFMG)</t>
  </si>
  <si>
    <t>Mendes, VF (corresponding author), Univ Fed Ouro Preto UFOP, Programa Pos Graduacao Engenharia Civil PROPEC, BR-35400000 Ouro Preto Minas Gerais, Brazil.;Mendes, VF (corresponding author), Ciencia Tecnol Minas Gerais IFMG, Inst Fed Educacao, Campus Santa Luzia, BR-33115390 Santa Luzia, Minas Gerais, Brazil.</t>
  </si>
  <si>
    <t>In dental clinics with an open floor plan, the risk of patient-to-patient transmission of respiratory disease is a concern. During dental procedures large amounts of bioaerosol are produced and patients cannot wear personal protective equipment. This paper examines how to effectively deploy air cleaner to reduce the infection risk in dental clinics with an open floor plan. Various locations of air cleaners at various clean air delivery rates (CADRs) were investigated. The dispersion of bioaerosol was studied through numerical simulations, and risk assessment was performed by a dose-response method. The findings indicated that dental patients downstream of the background ventilation have a higher infection risk than those to the left and right of an infected patient (i.e., the source). The lowest infection risks for the adjacent patients were found when the air cleaner was place opposite to the dentists, i.e., on the floor at low CADR levels of 2.2 m(3)/min or on the bench at CADR levels of 4.4 m(3)/min or greater. The results of this study indicated that air cleaner can mitigate the risk of patient-to-patient transmission of SARS-CoV-2 in dental clinics with an open floor plan. Background CADR levels determine the optimal placement of air cleaners.</t>
  </si>
  <si>
    <t>[Yang, Gang; Wang, Yifan; Chan, Ka Chung; Mui, Kwok Wai; Chao, Christopher Y. H.; Fu, Sau Chung] Hong Kong Polytech Univ, Dept Bldg Environm &amp; Energy Engn, Hong Kong, Peoples R China; [Flemmig, Thomas F.] Univ Hong Kong, Fac Dent, Hong Kong, Peoples R China; [Ng, S. Thomas] City Univ Hong Kong, Dept Architecture Civil Engn, Hong Kong, Peoples R China; [Chao, Christopher Y. H.] Hong Kong Polytech Univ, Dept Mech Engn, Hong Kong, Peoples R China</t>
  </si>
  <si>
    <t>[Xiong, Chenglong; Li, Guannan; Xu, Chengliang; Chen, Liang] Wuhan Univ Sci &amp; Technol, Sch Urban Construct, Wuhan 430065, Peoples R China; [Yan, Ying] Nanjing Univ Informat Sci &amp; Technol, Jiangsu Collaborat Innovat Ctr Atmospher Environm, Nanjing 210044, Peoples R China; [Zhang, Hanyuan] Shandong Jianzhu Univ, Sch Informat &amp; Elect Engn, Shandong Key Lab Intelligent Buildings Technol, Jinan 250101, Peoples R China; [Li, Guannan] Chongqing Univ, Key Lab Low Grade Energy Utilizat Technol &amp; Syst, Minist Educ China, Chongqing 400044, Peoples R China; [Li, Guannan] Xian Univ Architecture Technol, State Key Lab Green Bldg Western China, Xian 710055, Peoples R China</t>
  </si>
  <si>
    <t>Li, GN (corresponding author), Wuhan Univ Sci &amp; Technol, Sch Urban Construct, Wuhan 430065, Peoples R China.;Li, GN (corresponding author), Chongqing Univ, Key Lab Low Grade Energy Utilizat Technol &amp; Syst, Minist Educ China, Chongqing 400044, Peoples R China.;Li, GN (corresponding author), Xian Univ Architecture Technol, State Key Lab Green Bldg Western China, Xian 710055, Peoples R China.</t>
  </si>
  <si>
    <t>[Fu, Linzhi; Zhang, Yu; Wang, Yi] Xian Univ Architecture &amp; Technol, State Key Lab Green Bldg, Xian 710055, Peoples R China; [Fu, Linzhi] Xian Univ Architecture &amp; Technol, Sch Resources Engn, Xian 710055, Peoples R China; [Guo, Jiazhen; Jing, Xiaohong; Lu, Lianhe; Jiang, Rongmeng] Capital Med Univ, Beijing Ditan Hosp, Beijing 100015, Peoples R China; [Zhang, Yu; Wang, Yi] Xian Univ Architecture &amp; Technol, Sch Bldg Serv Sci &amp; Engn, Xian 710055, Peoples R China; [Liu, Li] Tsinghua Univ, Dept Bldg Sci, Beijing 100084, Peoples R China; [Liu, Li] Tsinghua Univ, Lab Eco Planning Green Bldg, Minist Educ, Beijing 100084, Peoples R China</t>
  </si>
  <si>
    <t>Jiang, RM (corresponding author), Capital Med Univ, Beijing Ditan Hosp, Beijing 100015, Peoples R China.;Liu, L (corresponding author), Tsinghua Univ, Dept Bldg Sci, Beijing 100084, Peoples R China.;Liu, L (corresponding author), Tsinghua Univ, Lab Eco Planning Green Bldg, Minist Educ, Beijing 100084, Peoples R China.</t>
  </si>
  <si>
    <t>10.1007/s12273-024-1144-3</t>
  </si>
  <si>
    <t>The evapotranspiration (ET) from urban vegetation is recognized as an effective way to improve the urban thermal environment. However, the traditional ET measurement approaches, such as the sap flow method, are limited in providing urban ET for specific areas. Consequently, establishing quantitative relationship between cooling effects and ET becomes challenging, which is crucial for understanding the role of urban greenery in mitigating urban heat. To overcome this challenge, an estimation model based on the three-temperature (3T) model was developed for accurately estimating urban ET by employing a reference tree with accurate ET data. In contrast to the 3T model, this study proposed a new method (modified 3T model) that considers the influence of the three-dimensional crown structure on the energy balance. Additionally, it retains the advantage over traditional ET models by not requiring the calculation of resistance parameters. This reduces the impact of uncertainty in the estimated resistance parameters on the ET results. The modified 3T model was validated based on the sap flow method and Bowen ratio system, where the results indicated good agreement between the modified 3T model and measured ET data, with root mean square errors of 22.2 Wm(-2) and 26.4 W center dot m(-2), respectively. Furthermore, the absolute relative error of ET estimation was affected by energy-related factors, such as solar radiation, air temperature, and relative humidity. The modified 3T model exhibited low sensitivity to surface temperatures, where the average sensitivity coefficients were below +/- 0.15 from 0600 local time (LT) to 1700 LT. Considering the low accuracy of surface temperatures measured by infrared cameras (+/- 2 degrees C), it would be beneficial to combine the modified 3T model with unmanned aerial vehicles and infrared remote sensing to measure urban ET.</t>
  </si>
  <si>
    <t>[Li, Qiong; Li, Qi; Wu, Haotian; Mi, Jiayi; Lu, Xiaohui] South China Univ Technol, State Key Lab Subtrop Bldg &amp; Urban Sci, Guangzhou 510640, Guangdong, Peoples R China; [Li, Qiong; Li, Qi; Wu, Haotian; Mi, Jiayi; Lu, Xiaohui] South China Univ Technol, Sch Architecture, Guangzhou 510640, Guangdong, Peoples R China; [Mochida, Akashi; Ishida, Yasuyuki] Tohoku Univ, Grad Sch Engn, Sendai, Miyagi 9808579, Japan; [Liu, Zhixin] Univ Sheffield, Sch Architecture &amp; Landscape, Sheffield S10 2TN, S Yorkshire, England</t>
  </si>
  <si>
    <t>INDOOR OPERATIVE TEMPERATURE; MEAN RADIANT TEMPERATURE; HUMAN THERMAL COMFORT; SOLAR-RADIATION; HUMAN HEALTH; ENVIRONMENT; SLEEP; MODEL; BODY</t>
  </si>
  <si>
    <t>Sun Yat Sen University; Southern Marine Science &amp; Engineering Guangdong Laboratory; Southern Marine Science &amp; Engineering Guangdong Laboratory (Zhuhai); Southern Marine Science &amp; Engineering Guangdong Laboratory; Southern Marine Science &amp; Engineering Guangdong Laboratory (Zhuhai); China Meteorological Administration; Institute of Urban Meteorology, China Meteorological Administration; China Meteorological Administration; Hebei Meteorological Service, China Meteorological Administration; Cardiff University; South China Institute of Environmental Sciences, Ministry of Ecology &amp; Environment</t>
  </si>
  <si>
    <t>Sun Yat Sen University; Southern Marine Science &amp; Engineering Guangdong Laboratory; Southern Marine Science &amp; Engineering Guangdong Laboratory (Zhuhai)</t>
  </si>
  <si>
    <t>Hong, TZ; Zhang, L</t>
  </si>
  <si>
    <t>Hong, Tianzhen; Zhang, Liang</t>
  </si>
  <si>
    <t>AI for building energy modeling: A transformation</t>
  </si>
  <si>
    <t>machine learning; generative AI (GenAI); large language models; building simulation</t>
  </si>
  <si>
    <t>SIMULATION</t>
  </si>
  <si>
    <t>With the increasing volume of data from buildings and affordable powerful computing, artificial intelligence (AI) has been explored in various applications for building energy modeling (BEM), including collecting input data, creating and tuning energy models, managing simulation runs, and extracting insights from large volume of simulation output to inform decision making across a building's life cycle for energy efficiency, demand flexibility, climate resilience, and occupant comfort and health. However, significant challenges remain to address, including AI-ready data, selecting fit-for-purpose AI models or tools, BEM workforce training, standard benchmark datasets and methods. This perspective article describes how AI is transforming BEM workflows and the larger ecosystem focusing on four major AI themes of data, models, computing, and applications, highlighting the associated opportunities, challenges, and future trends.</t>
  </si>
  <si>
    <t>[Hong, Tianzhen] Lawrence Berkeley Natl Lab, Bldg Technol &amp; Urban Syst Div, Berkeley, CA 94720 USA; [Zhang, Liang] Univ Arizona, Dept Civil &amp; Architectural Engn &amp; Mech, Tucson, AZ 85721 USA</t>
  </si>
  <si>
    <t>United States Department of Energy (DOE); Lawrence Berkeley National Laboratory; University of Arizona</t>
  </si>
  <si>
    <t>10.1007/s12273-025-1329-4</t>
  </si>
  <si>
    <t>WOS:001562504200001</t>
  </si>
  <si>
    <t>Li, XT; Jiu, Y; Wang, H</t>
  </si>
  <si>
    <t>Li, Xianting; Jiu, Yuan; Wang, Huan</t>
  </si>
  <si>
    <t>Occupant-oriented indoor environment: An approach to create high performance indoor environment for all scenarios</t>
  </si>
  <si>
    <t>HVAC; occupant positioning; nonuniform indoor environment; source identification; building energy efficiency</t>
  </si>
  <si>
    <t>IDENTIFICATION</t>
  </si>
  <si>
    <t>A high-quality indoor environment is essential for ensuring occupant comfort and health. Conventional heating, ventilation, and air conditioning (HVAC) systems, which are designed under the most unfavorable conditions with lumped parameter approaches, often lead to energy waste. To address this problem, an occupant-oriented indoor environment-creation framework is presented. The system identifies occupant distribution and usage scenarios through an occupant positioning system. Based on the occupant distribution, the system switches air distribution patterns and adjusts air supply parameters to supply air to occupied zones efficiently. This perspective paper presents the key technologies involved and outlines future research directions in this field. The key technologies and the future roadmap are introduced. This perspective will help address research gaps and inspire ideas to create occupant-oriented environments for more healthy, comfortable, energy-saving, and low-carbon indoor environments.</t>
  </si>
  <si>
    <t>[Li, Xianting; Jiu, Yuan; Wang, Huan] Tsinghua Univ, Dept Bldg Sci, Beijing Key Lab Indoor Air Qual Evaluat &amp; Control, Beijing 100084, Peoples R China</t>
  </si>
  <si>
    <t>Li, XT (corresponding author), Tsinghua Univ, Dept Bldg Sci, Beijing Key Lab Indoor Air Qual Evaluat &amp; Control, Beijing 100084, Peoples R China.</t>
  </si>
  <si>
    <t>xtingli@tsinghua.edu.cn</t>
  </si>
  <si>
    <t>10.1007/s12273-025-1316-9</t>
  </si>
  <si>
    <t>WOS:001520743600001</t>
  </si>
  <si>
    <t>Mun, J; Park, CS</t>
  </si>
  <si>
    <t>Mun, Jeeye; Park, Cheol-Soo</t>
  </si>
  <si>
    <t>A causal lens for building data: What lies beyond the measured?</t>
  </si>
  <si>
    <t>building simulation; data-driven model; causality-driven model; confounding bias; causal inference</t>
  </si>
  <si>
    <t>Building simulation (BS) increasingly relies on data-driven models that extract patterns directly from measured data. However, these models often conflate statistical dependency with causal relationship. The idea of a causal lens introduces structural causal diagrams and do-operators to distinguish true causations from spurious associations. The causal lens perspective highlights how confounding bias can arise in observational modeling and emphasizes the importance of extracting true causality from building data. This suggests that BS move beyond pattern replication to enable counterfactual reasoning, thereby supporting reliable decision-making.</t>
  </si>
  <si>
    <t>[Mun, Jeeye] Seoul Natl Univ, Coll Engn, Dept Architecture &amp; Architectural Engn, Seoul 08826, South Korea; [Park, Cheol-Soo] Seoul Natl Univ, Dept Architecture &amp; Architectural Engn, Coll Engn, Inst Construct &amp; Environm Engn,Inst Engn Res, Seoul 08826, South Korea</t>
  </si>
  <si>
    <t>Seoul National University (SNU); Seoul National University (SNU)</t>
  </si>
  <si>
    <t>Park, CS (corresponding author), Seoul Natl Univ, Dept Architecture &amp; Architectural Engn, Coll Engn, Inst Construct &amp; Environm Engn,Inst Engn Res, Seoul 08826, South Korea.</t>
  </si>
  <si>
    <t>cheolsoo.park@snu.ac.kr</t>
  </si>
  <si>
    <t>10.1007/s12273-025-1314-y</t>
  </si>
  <si>
    <t>WOS:001518054400001</t>
  </si>
  <si>
    <t>Liu, MZ; Zhang, L; Chen, JL; Chen, WA; Yang, ZY; Lo, LJ; Wen, J; O'Neill, Z</t>
  </si>
  <si>
    <t>Liu, Mingzhe; Zhang, Liang; Chen, Jianli; Chen, Wei-An; Yang, Zhiyao; Lo, L. James; Wen, Jin; O'Neill, Zheng</t>
  </si>
  <si>
    <t>Large language models for building energy applications: Opportunities and challenges</t>
  </si>
  <si>
    <t>large language models; building energy applications; artificial intelligence; energy management optimization; LLM-as-agent workflows</t>
  </si>
  <si>
    <t>Large language models (LLMs) are gaining attention due to their potential to enhance efficiency and sustainability in the building domain, a critical area for reducing global carbon emissions. Built on transformer architectures, LLMs excel at text generation and data analysis, enabling applications such as automated energy model generation, energy management optimization, and fault detection and diagnosis. These models can potentially streamline complex workflows, enhance decision-making, and improve energy efficiency. However, integrating LLMs into building energy systems poses challenges, including high computational demands, data preparation costs, and the need for domain-specific customization. This perspective paper explores the role of LLMs in the building energy system sector, highlighting their potential applications and limitations. We propose a development roadmap built on in-context learning, domain-specific fine-tuning, retrieval augmented generation, and multimodal integration to enhance LLMs' customization and practical use in this field. This paper aims to spark ideas for bridging the gap between LLMs capabilities and practical building applications, offering insights into the future of LLM-driven methods in building energy applications.</t>
  </si>
  <si>
    <t>[Liu, Mingzhe; Yang, Zhiyao; O'Neill, Zheng] Texas A&amp;M Univ, J Mike Walker66 Dept Mech Engn, College Stn, TX 77843 USA; [Zhang, Liang] Univ Arizona, Dept Civil &amp; Architectural Engn &amp; Mech, Tucson, AZ 85719 USA; [Chen, Jianli] Tongji Univ, Coll Civil Engn, Shanghai 200092, Peoples R China; [Chen, Wei-An] Texas A&amp;M Univ, Dept Multidisciplinary Engn, College Stn, TX 77843 USA; [Lo, L. James; Wen, Jin] Drexel Univ, Civil Architectural &amp; Environm Engn, Philadelphia, PA 19104 USA</t>
  </si>
  <si>
    <t>Texas A&amp;M University System; Texas A&amp;M University College Station; University of Arizona; Tongji University; Texas A&amp;M University System; Texas A&amp;M University College Station; Drexel University</t>
  </si>
  <si>
    <t>O'Neill, Z (corresponding author), Texas A&amp;M Univ, J Mike Walker66 Dept Mech Engn, College Stn, TX 77843 USA.</t>
  </si>
  <si>
    <t>zoneill@tamu.edu</t>
  </si>
  <si>
    <t>10.1007/s12273-025-1235-9</t>
  </si>
  <si>
    <t>WOS:001399404600001</t>
  </si>
  <si>
    <t>[Wang, Qi R.] Northeastern Univ, Dept Civil &amp; Environm Engn, 360 Huntington Ave, Huntington, WV 02115 USA</t>
  </si>
  <si>
    <t>Wang, QR (corresponding author), Northeastern Univ, Dept Civil &amp; Environm Engn, 360 Huntington Ave, Huntington, WV 02115 USA.</t>
  </si>
  <si>
    <t>Gao, H; Zhuang, L; Zhang, YY; Han, X; Zhang, H; Qian, WX; Liu, J</t>
  </si>
  <si>
    <t>Gao, Hu; Zhuang, Lei; Zhang, Yuanyuan; Han, Xu; Zhang, Hua; Qian, Weixin; Liu, Jing</t>
  </si>
  <si>
    <t>Deep learning accelerates the calculation algorithm of multi-physics field inside buildings: A review</t>
  </si>
  <si>
    <t>deep learning; fast prediction; building environment; computational fluid dynamic; flow field reconstructions</t>
  </si>
  <si>
    <t>INFORMED NEURAL-NETWORKS; INDOOR AIR; REAL-TIME; FAST PREDICTION; FLOW; SIMULATION; CFD; ENVIRONMENT; DESIGN; MODEL</t>
  </si>
  <si>
    <t>Flow field computation plays a critical role in both scientific research and engineering applications. For decades, computational fluid dynamics (CFD) has served as the cornerstone of flow field analysis; however, high-resolution simulations are often hindered by considerable computational costs and lengthy processing times. In recent years, deep learning (DL), with its exceptional capability to handle high-dimensional nonlinear problems, has achieved remarkable progress in the field of fluid mechanics. This paper provides a comprehensive review of recent advances in applying DL methods to accelerate flow field computation, with particular emphasis on complex indoor environments characterized by multi-physics coupling. We begin by outlining the fundamental frameworks of deep learning and, on this basis, summarize four representative neural network architectures for flow prediction: end-to-end mapping networks, reduced-order mapping networks, physics-informed neural networks (PINNs), and operator neural networks (ONNs). We then systematically review the specific applications of these DL algorithms in indoor flow field prediction. In addition, we discuss key challenges faced by current research, including the lack of large, high-quality databases, limited interpretability and generalization capability of existing models, and the difficulty of accurately representing real indoor environments. Finally, we propose several promising research directions, such as exploring advanced algorithms, enhancing self-supervised learning techniques, and developing geometry-aware network models and multi-task hybrid frameworks. Advancing these frontiers is expected not only to significantly improve the efficiency and accuracy of flow field computations but also to provide a solid theoretical foundation and technical support for the optimization of intelligent indoor environments.</t>
  </si>
  <si>
    <t>[Gao, Hu; Zhuang, Lei; Zhang, Yuanyuan; Qian, Weixin; Liu, Jing] Harbin Inst Technol, Sch Architecture &amp; Design, Harbin 150090, Peoples R China; [Gao, Hu; Zhuang, Lei; Zhang, Yuanyuan; Qian, Weixin; Liu, Jing] Minist Ind &amp; Informat Technol, Key Lab Cold Reg Urban &amp; Rural Human Settlement En, Harbin 150090, Peoples R China; [Han, Xu; Zhang, Hua] Army Engn Univ PLA, Coll Natl Def Engn, Nanjing 210007, Peoples R China</t>
  </si>
  <si>
    <t>Harbin Institute of Technology; Army Engineering University of PLA</t>
  </si>
  <si>
    <t>Liu, J (corresponding author), Harbin Inst Technol, Sch Architecture &amp; Design, Harbin 150090, Peoples R China.;Liu, J (corresponding author), Minist Ind &amp; Informat Technol, Key Lab Cold Reg Urban &amp; Rural Human Settlement En, Harbin 150090, Peoples R China.</t>
  </si>
  <si>
    <t>liujinghit@hit.edu.cn</t>
  </si>
  <si>
    <t>10.1007/s12273-025-1366-z</t>
  </si>
  <si>
    <t>WOS:001648963800001</t>
  </si>
  <si>
    <t>Liang, JR; Lin, YY; Liu, YC; Huang, Y; Wu, HJ</t>
  </si>
  <si>
    <t>Liang, Jinrui; Lin, Yuyan; Liu, Yanchen; Huang, Yu; Wu, Huijun</t>
  </si>
  <si>
    <t>Pre-training large language models based on Transformer architecture for building industry application: A review</t>
  </si>
  <si>
    <t>artificial intelligence; large language models; building information modeling; building energy management</t>
  </si>
  <si>
    <t>FAULT-DETECTION; GOOGLE SCHOLAR; SYSTEMS; DIAGNOSIS; SCIENCE; SCOPUS; WEB</t>
  </si>
  <si>
    <t>The construction field is known for its high professional requirements, complexity, and diversity. Over the past few decades, CO2 emissions and energy consumption have increased significantly, making it necessary to improve the efficiency of building design and the retrofitting for energy conservation imperatively. Pre-trained large language models (LLMs) assist industry professionals in architectural design and renovation through natural language processing. This study reviews research papers on Transformer architecture pre-training LLMs from the perspective of model types and application directions. It discusses their potential future application directions along with factors affecting their performance. The assessment outcomes indicate that LLMs excel in tasks including building information detection, modeling automation, and fault diagnosis. Specifically, LLMs achieve median accuracy of approximately 89% for building information detection, 91% for auxiliary modeling, and 98% for fault detection. However, current applications are primarily limited to processing built environment data (e.g., structural data and operational/maintenance records). The input prompt is an essential factor that affects the task execution capability of LLMs. Existing studies have not fully explored the interpretability, transfer learning potential, or contextual learning methods of LLMs, and most research is limited to the use of GPT models. Future work should expand the applications of LLMs in construction, develop task-specific model adaptations, enhance model interpretability, and establish new evaluation metrics for construction-associated tasks.</t>
  </si>
  <si>
    <t>[Liang, Jinrui; Lin, Yuyan; Liu, Yanchen; Huang, Yu; Wu, Huijun] Guangzhou Univ, Sch Civil Engn &amp; Transportat, Guangzhou 510006, Peoples R China</t>
  </si>
  <si>
    <t>Guangzhou University</t>
  </si>
  <si>
    <t>10.1007/s12273-025-1324-9</t>
  </si>
  <si>
    <t>WOS:001617509100001</t>
  </si>
  <si>
    <t>Wan, HL; Zhang, J; Chen, Y; Xu, WL; Feng, F</t>
  </si>
  <si>
    <t>Wan, Hanlong; Zhang, Jian; Chen, Yan; Xu, Weili; Feng, Fan</t>
  </si>
  <si>
    <t>Exploring Gen-AI applications in building research and industry: A review</t>
  </si>
  <si>
    <t>generative AI; large language models (LLMs); building industry; automatic compliance checking (ACC); building design; retrieval-augmented generation (RAG)</t>
  </si>
  <si>
    <t>ENERGYPLUS</t>
  </si>
  <si>
    <t>This paper investigates the transformative potential of Generative AI (Gen-AI) technologies, particularly large language models, within the building industry. By leveraging these advanced AI tools, the study explores their application across key areas such as automated compliance checking and building design assistance. The research highlights how Gen-AI can automate labor-intensive processes, significantly improving efficiency and reducing costs in building practices. The paper first discusses the two widely applied fundamental models-Transformer and Diffusion model-and summarizes current pathways for accessing Gen-AI models and the most common techniques for customizing them. It then explores applications for text generation, such as compliance checking, control support, data mining, and building simulation input file editing. Additionally, it examines image generation, including direct generation through diffusion models and indirect generation through language model-supported template creation based on existing Computer-Aided Design or other design tools with rendering. The paper concludes with a comprehensive analysis of the current capabilities of Gen-AI in the building industry, outlining future directions for research and development, with the goal of paving the way for smarter, more effective, and responsive design, construction, and operational practices.</t>
  </si>
  <si>
    <t>[Wan, Hanlong; Zhang, Jian; Chen, Yan; Xu, Weili; Feng, Fan] Pacific Northwest Natl Lab, Richland, WA 99354 USA</t>
  </si>
  <si>
    <t>United States Department of Energy (DOE); Pacific Northwest National Laboratory</t>
  </si>
  <si>
    <t>Wan, HL (corresponding author), Pacific Northwest Natl Lab, Richland, WA 99354 USA.</t>
  </si>
  <si>
    <t>hanlong.wan@pnnl.gov</t>
  </si>
  <si>
    <t>10.1007/s12273-025-1279-x</t>
  </si>
  <si>
    <t>WOS:001480175100001</t>
  </si>
  <si>
    <t>Huang, HK; Tan, LW; Wang, PL; Zhao, LJ; Wu, HJ</t>
  </si>
  <si>
    <t>Huang, Huakun; Tan, Liwen; Wang, Peiliang; Zhao, Lingjun; Wu, Huijun</t>
  </si>
  <si>
    <t>Non-invasive human thermal adaptive behavior recognition based on privacy-friendly WiFi sensing in buildings: A review</t>
  </si>
  <si>
    <t>thermal adaptive behavior; WiFi sensing; non-invasive; privacy protection; smart building</t>
  </si>
  <si>
    <t>SKIN TEMPERATURE; SMART BUILDINGS; COMFORT; PREDICTION; ENERGY; OCCUPANCY; ENVIRONMENT; OFFICE</t>
  </si>
  <si>
    <t>By analyzing thermal adaptive behavior (TAB), we can access the occupant's thermal comfort in real time and control the heating, ventilation, and air conditioning (HVAC) system accordingly to reduce energy consumption in buildings. Most existing methods are based on wearable devices or cameras to collect occupant behavioral information. Although these methods can effectively identify occupant behavior, they have the problem of violating user privacy. With the development of wireless technologies, human activity recognition using WiFi has the advantages of being non-invasive, privacy-friendly, and light-independent. Therefore, non-invasive TAB recognition based on WiFi technology holds great promise in human thermal comfort. However, existing research on TAB recognition based on WiFi technology lacks comprehensive and consistent conclusions. Thus, in this paper, we have surveyed the literature in recent years to guide in this area. In addition, we present the challenges and future perspectives faced by existing WiFi-based TAB technologies, e.g., developing high-quality WiFi sensing datasets to advance the field of human thermal comfort. We hope this review will guide researchers in recognizing the great promise of WiFi sensing applications for TAB recognition in smart buildings.</t>
  </si>
  <si>
    <t>[Huang, Huakun; Tan, Liwen; Wang, Peiliang] Guangzhou Univ, Sch Comp Sci &amp; Cyber Engn, Guangzhou 510006, Peoples R China; [Zhao, Lingjun] Guangdong Polytech Normal Univ, Sch Elect &amp; Informat, Guangzhou 510665, Peoples R China; [Wu, Huijun] Guangzhou Univ, Sch Civil Engn &amp; Transportat, Guangzhou 510006, Peoples R China</t>
  </si>
  <si>
    <t>Guangzhou University; Guangdong Polytechnic Normal University; Guangzhou University</t>
  </si>
  <si>
    <t>10.1007/s12273-025-1249-3</t>
  </si>
  <si>
    <t>WOS:001443903800001</t>
  </si>
  <si>
    <t>Wang, YF; Hang, J; Mo, ZW</t>
  </si>
  <si>
    <t>Wang, Yifei; Hang, Jian; Mo, Ziwei</t>
  </si>
  <si>
    <t>Indoor and outdoor airflow modeling in built and urban environments by water tank and channel experiments: A review</t>
  </si>
  <si>
    <t>water tank experiment; water channel experiment; indoor and outdoor airflow; pollutant dispersion; ventilation</t>
  </si>
  <si>
    <t>STABLY STRATIFIED ENVIRONMENT; CONVECTIVE BOUNDARY-LAYER; BUOYANT PLUME DISPERSION; LAGRANGIAN TIME SCALES; HEAT-ISLAND; POLLUTANT DISPERSION; LABORATORY MODEL; STREET CANYONS; WIND-TUNNEL; TURBULENCE</t>
  </si>
  <si>
    <t>Water tank and channel experiments have been widely utilized in indoor and outdoor airflow studies for their ability to adjust variables and boundary conditions in a controlled environment. This study reviews the experimental setup of water tanks and channels, measurement techniques, and their applications in multi-scale airflow modeling, in particular indoor airflow, street-canyon flow, city-scale urban heat circulation and meso-scale boundary-layer flows. Water tanks are mainly adopted for thermally-dominated airflow studies without considering the background wind, while water channels are applied to dynamic-thermal interacting airflow researches. The advantages and disadvantages of commonly adopted measurement techniques in water tank and water channel experiments are summarized in terms of particle image velocimetry (PIV), acoustic Doppler velocimeter (ADV), laser Doppler velocimeter (LDV), and magnetic resonance imaging (MRI). Based on the water tank and channel measurements, the exhaled airflow and natural ventilations are major concerns in indoor environments. Wind- and buoyancy-driven flow, ventilation and pollutant dispersion are investigated within and above the street canyons. The urban heat island circulation and the convective boundary layer are intensively studied under different thermal and stratification conditions. Current limitations include the oversimplification of building models, the inability to ensure strict flow field similarity, and the neglect of specific dimensionless numbers. Water tank and channel experiments serve as important tools for parametric experiments, allowing for the validation of numerical simulations and comparisons with full scale measurements. In the future, water tank and water channel experiments should more closely align with real atmospheric conditions, such as using more realistic physical models, accounting for actual atmospheric background wind circulations, and considering the non-uniform distribution of heat fluxes in urban areas.</t>
  </si>
  <si>
    <t>[Wang, Yifei; Hang, Jian; Mo, Ziwei] Sun Yat Sen Univ, Sch Atmospher Sci, Zhuhai, Peoples R China; [Wang, Yifei; Hang, Jian; Mo, Ziwei] Southern Marine Sci &amp; Engn Guangdong Lab Zhuhai, Zhuhai, Peoples R China; [Hang, Jian; Mo, Ziwei] China Meteorol Adm, Key Lab Urban Meteorol, Beijing 100089, Peoples R China; [Hang, Jian; Mo, Ziwei] China Meteorol Adm, Xiongan Atmospher Boundary Layer Key Lab, Xiongan, Peoples R China; [Hang, Jian; Mo, Ziwei] Minist Educ, Key Lab Trop Atmosphere Ocean Syst, Zhuhai, Peoples R China</t>
  </si>
  <si>
    <t>Sun Yat Sen University; Southern Marine Science &amp; Engineering Guangdong Laboratory; Southern Marine Science &amp; Engineering Guangdong Laboratory (Zhuhai); China Meteorological Administration; Institute of Urban Meteorology, China Meteorological Administration; China Meteorological Administration; Hebei Meteorological Service, China Meteorological Administration</t>
  </si>
  <si>
    <t>Mo, ZW (corresponding author), Sun Yat Sen Univ, Sch Atmospher Sci, Zhuhai, Peoples R China.;Mo, ZW (corresponding author), Southern Marine Sci &amp; Engn Guangdong Lab Zhuhai, Zhuhai, Peoples R China.;Mo, ZW (corresponding author), China Meteorol Adm, Key Lab Urban Meteorol, Beijing 100089, Peoples R China.;Mo, ZW (corresponding author), China Meteorol Adm, Xiongan Atmospher Boundary Layer Key Lab, Xiongan, Peoples R China.;Mo, ZW (corresponding author), Minist Educ, Key Lab Trop Atmosphere Ocean Syst, Zhuhai, Peoples R China.</t>
  </si>
  <si>
    <t>10.1007/s12273-025-1230-1</t>
  </si>
  <si>
    <t>WOS:001431115300001</t>
  </si>
  <si>
    <t>LIGHTING CONTROL; MODELING METHODOLOGIES; COMMERCIAL BUILDINGS; THERMAL COMFORT; BEHAVIOR; HVAC; SIMULATION; CONSERVATION; CONSUMPTION; PERFORMANCE</t>
  </si>
  <si>
    <t>[Yuan, Yue; Song, Chengcheng; Gao, Liying; Zeng, Kejun; Chen, Yixing] Hunan Univ, Coll Civil Engn, Changsha 410082, Peoples R China; [Chen, Yixing] Hunan Univ, Key Lab Bldg Safety &amp; Energy Efficiency, Minist Ed, Changsha 410082, Peoples R China</t>
  </si>
  <si>
    <t>Chen, YX (corresponding author), Hunan Univ, Key Lab Bldg Safety &amp; Energy Efficiency, Minist Ed, Changsha 410082, Peoples R China.</t>
  </si>
  <si>
    <t>Soundscape</t>
    <phoneticPr fontId="2" type="noConversion"/>
  </si>
  <si>
    <t>Jiang, M; Chen, YM; Liu, XP; Gao, JD</t>
    <phoneticPr fontId="2" type="noConversion"/>
  </si>
  <si>
    <t>室内环境质量</t>
  </si>
  <si>
    <t>Indoor environment quality</t>
  </si>
  <si>
    <t>除湿</t>
    <phoneticPr fontId="2" type="noConversion"/>
  </si>
  <si>
    <t>储能</t>
    <phoneticPr fontId="2" type="noConversion"/>
  </si>
  <si>
    <t>Storage</t>
  </si>
  <si>
    <t>数据驱动</t>
    <phoneticPr fontId="2" type="noConversion"/>
  </si>
  <si>
    <t>data-driven</t>
  </si>
  <si>
    <t>Dehumidification</t>
    <phoneticPr fontId="2" type="noConversion"/>
  </si>
  <si>
    <t xml:space="preserve"> </t>
    <phoneticPr fontId="2" type="noConversion"/>
  </si>
  <si>
    <t>data-driven</t>
    <phoneticPr fontId="2" type="noConversion"/>
  </si>
  <si>
    <t>Building carbon emissions</t>
    <phoneticPr fontId="2" type="noConversion"/>
  </si>
  <si>
    <t>VOC/SVOC</t>
    <phoneticPr fontId="2" type="noConversion"/>
  </si>
  <si>
    <t>10.1007/s12273-024-1144-3</t>
    <phoneticPr fontId="2" type="noConversion"/>
  </si>
  <si>
    <t>GPU加速</t>
    <phoneticPr fontId="2" type="noConversion"/>
  </si>
  <si>
    <t>GPU加速</t>
    <phoneticPr fontId="2" type="noConversion"/>
  </si>
  <si>
    <t>数据驱动</t>
  </si>
  <si>
    <t>Dehumidification</t>
  </si>
  <si>
    <t>除湿</t>
    <phoneticPr fontId="2" type="noConversion"/>
  </si>
  <si>
    <t>储能</t>
  </si>
  <si>
    <t>城市碳排放</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</si>
</sst>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0"/>
      <name val="Arial"/>
    </font>
    <font>
      <sz val="10"/>
      <name val="Arial"/>
      <family val="2"/>
    </font>
    <font>
      <sz val="9"/>
      <name val="宋体"/>
      <family val="3"/>
      <charset val="134"/>
    </font>
    <font>
      <b/>
      <sz val="10"/>
      <name val="Arial"/>
      <family val="2"/>
    </font>
    <font>
      <u/>
      <sz val="10"/>
      <color theme="10"/>
      <name val="Arial"/>
      <family val="2"/>
    </font>
    <font>
      <sz val="10"/>
      <name val="微软雅黑"/>
      <family val="2"/>
      <charset val="134"/>
    </font>
    <font>
      <sz val="10"/>
      <name val="宋体"/>
      <family val="3"/>
      <charset val="134"/>
    </font>
    <font>
      <b/>
      <sz val="9"/>
      <name val="Arial"/>
      <family val="2"/>
    </font>
    <font>
      <sz val="9"/>
      <name val="Arial"/>
      <family val="2"/>
    </font>
    <font>
      <b/>
      <sz val="8"/>
      <name val="Arial"/>
      <family val="2"/>
    </font>
    <font>
      <sz val="8"/>
      <name val="Arial"/>
      <family val="2"/>
    </font>
    <font>
      <b/>
      <sz val="10"/>
      <color theme="4" tint="-0.249977111117893"/>
      <name val="Arial"/>
      <family val="2"/>
    </font>
  </fonts>
  <fills count="4">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0" borderId="0" xfId="0" applyFont="1"/>
    <xf numFmtId="0" fontId="5" fillId="0" borderId="0" xfId="0" applyFont="1" applyAlignment="1">
      <alignment horizontal="center" vertical="center"/>
    </xf>
    <xf numFmtId="0" fontId="4" fillId="0" borderId="0" xfId="1" applyAlignment="1">
      <alignment horizontal="center" vertical="center"/>
    </xf>
    <xf numFmtId="0" fontId="5"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5" fillId="0" borderId="0" xfId="0" applyFont="1" applyAlignment="1">
      <alignment vertical="center"/>
    </xf>
    <xf numFmtId="0" fontId="4" fillId="0" borderId="0" xfId="1" applyAlignment="1">
      <alignment vertical="center"/>
    </xf>
    <xf numFmtId="0" fontId="3" fillId="0" borderId="0" xfId="0" applyFont="1"/>
    <xf numFmtId="0" fontId="1" fillId="0" borderId="0" xfId="0" applyFont="1" applyAlignment="1">
      <alignment horizontal="center"/>
    </xf>
    <xf numFmtId="0" fontId="6" fillId="0" borderId="0" xfId="0" applyFont="1"/>
    <xf numFmtId="0" fontId="7" fillId="0" borderId="0" xfId="0" applyFont="1" applyAlignment="1">
      <alignment wrapText="1"/>
    </xf>
    <xf numFmtId="0" fontId="8" fillId="0" borderId="0" xfId="0" applyFont="1"/>
    <xf numFmtId="0" fontId="9" fillId="0" borderId="0" xfId="0" applyFont="1" applyAlignment="1">
      <alignment wrapText="1"/>
    </xf>
    <xf numFmtId="0" fontId="10" fillId="0" borderId="0" xfId="0" applyFont="1"/>
    <xf numFmtId="0" fontId="11" fillId="0" borderId="0" xfId="0" applyFont="1" applyAlignment="1">
      <alignment wrapText="1"/>
    </xf>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5" fillId="0" borderId="0" xfId="0" applyFont="1" applyAlignment="1">
      <alignment horizontal="center" vertical="center"/>
    </xf>
    <xf numFmtId="0" fontId="4" fillId="0" borderId="0" xfId="1" applyAlignment="1">
      <alignment horizontal="center" vertical="center"/>
    </xf>
    <xf numFmtId="0" fontId="0" fillId="0" borderId="0" xfId="0" applyAlignment="1">
      <alignment horizontal="center" vertical="center"/>
    </xf>
  </cellXfs>
  <cellStyles count="2">
    <cellStyle name="常规" xfId="0" builtinId="0"/>
    <cellStyle name="超链接" xfId="1" builtinId="8"/>
  </cellStyles>
  <dxfs count="5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76"/>
  <sheetViews>
    <sheetView topLeftCell="A216" workbookViewId="0">
      <selection activeCell="R236" sqref="R236"/>
    </sheetView>
  </sheetViews>
  <sheetFormatPr defaultRowHeight="12.7" x14ac:dyDescent="0.4"/>
  <cols>
    <col min="1" max="2" width="9" style="13"/>
    <col min="3" max="3" width="12.41015625" style="13" customWidth="1"/>
    <col min="4" max="4" width="9" style="13"/>
    <col min="5" max="5" width="9.87890625" style="13" customWidth="1"/>
    <col min="6" max="12" width="9" style="13"/>
    <col min="13" max="13" width="11.1171875" style="13" customWidth="1"/>
    <col min="14" max="18" width="9" style="13"/>
    <col min="19" max="19" width="24.29296875" style="13" bestFit="1" customWidth="1"/>
    <col min="20" max="23" width="9" style="13"/>
    <col min="24" max="24" width="22.1171875" style="13" customWidth="1"/>
  </cols>
  <sheetData>
    <row r="1" spans="1:24" ht="21" x14ac:dyDescent="0.4">
      <c r="A1" s="14" t="s">
        <v>162</v>
      </c>
      <c r="B1" s="14" t="s">
        <v>0</v>
      </c>
      <c r="C1" s="14" t="s">
        <v>161</v>
      </c>
      <c r="D1" s="14" t="s">
        <v>1</v>
      </c>
      <c r="E1" s="14" t="s">
        <v>255</v>
      </c>
      <c r="F1" s="14" t="s">
        <v>163</v>
      </c>
      <c r="G1" s="14" t="s">
        <v>254</v>
      </c>
      <c r="H1" s="14" t="s">
        <v>164</v>
      </c>
      <c r="I1" s="14" t="s">
        <v>256</v>
      </c>
      <c r="J1" s="14" t="s">
        <v>257</v>
      </c>
      <c r="K1" s="14" t="s">
        <v>258</v>
      </c>
      <c r="L1" s="14" t="s">
        <v>259</v>
      </c>
      <c r="M1" s="14" t="s">
        <v>2</v>
      </c>
      <c r="N1" s="14" t="s">
        <v>3</v>
      </c>
      <c r="O1" s="14" t="s">
        <v>4</v>
      </c>
      <c r="P1" s="14" t="s">
        <v>5</v>
      </c>
      <c r="Q1" s="14" t="s">
        <v>6</v>
      </c>
      <c r="R1" s="14" t="s">
        <v>7</v>
      </c>
      <c r="S1" s="14" t="s">
        <v>8</v>
      </c>
      <c r="T1" s="14" t="s">
        <v>9</v>
      </c>
      <c r="U1" s="14" t="s">
        <v>10</v>
      </c>
      <c r="V1" s="14" t="s">
        <v>261</v>
      </c>
      <c r="W1" s="12"/>
      <c r="X1" s="12"/>
    </row>
    <row r="2" spans="1:24" x14ac:dyDescent="0.4">
      <c r="A2" s="15" t="s">
        <v>1795</v>
      </c>
      <c r="B2" s="15" t="s">
        <v>1796</v>
      </c>
      <c r="C2" s="15" t="s">
        <v>1797</v>
      </c>
      <c r="D2" s="15" t="s">
        <v>12</v>
      </c>
      <c r="E2" s="15" t="s">
        <v>262</v>
      </c>
      <c r="F2" s="15" t="s">
        <v>1798</v>
      </c>
      <c r="G2" s="15" t="s">
        <v>1799</v>
      </c>
      <c r="H2" s="15" t="s">
        <v>1800</v>
      </c>
      <c r="I2" s="15" t="s">
        <v>1801</v>
      </c>
      <c r="J2" s="15" t="s">
        <v>1802</v>
      </c>
      <c r="K2" s="15" t="s">
        <v>1803</v>
      </c>
      <c r="L2" s="15" t="s">
        <v>1804</v>
      </c>
      <c r="M2" s="15" t="s">
        <v>27</v>
      </c>
      <c r="N2" s="15">
        <v>2025</v>
      </c>
      <c r="O2" s="15">
        <v>18</v>
      </c>
      <c r="P2" s="15">
        <v>12</v>
      </c>
      <c r="Q2" s="15">
        <v>3225</v>
      </c>
      <c r="R2" s="15">
        <v>3246</v>
      </c>
      <c r="S2" s="15" t="s">
        <v>1805</v>
      </c>
      <c r="T2" s="15" t="str">
        <f>HYPERLINK("http://dx.doi.org/10.1007/s12273-025-1369-9","http://dx.doi.org/10.1007/s12273-025-1369-9")</f>
        <v>http://dx.doi.org/10.1007/s12273-025-1369-9</v>
      </c>
      <c r="U2" s="15" t="s">
        <v>1806</v>
      </c>
      <c r="V2" s="15" t="s">
        <v>1807</v>
      </c>
    </row>
    <row r="3" spans="1:24" x14ac:dyDescent="0.4">
      <c r="A3" s="15" t="s">
        <v>1808</v>
      </c>
      <c r="B3" s="15" t="s">
        <v>1809</v>
      </c>
      <c r="C3" s="15" t="s">
        <v>1810</v>
      </c>
      <c r="D3" s="15" t="s">
        <v>12</v>
      </c>
      <c r="E3" s="15" t="s">
        <v>262</v>
      </c>
      <c r="F3" s="15" t="s">
        <v>1811</v>
      </c>
      <c r="G3" s="15" t="s">
        <v>1812</v>
      </c>
      <c r="H3" s="15" t="s">
        <v>1813</v>
      </c>
      <c r="I3" s="15" t="s">
        <v>1814</v>
      </c>
      <c r="J3" s="15" t="s">
        <v>1815</v>
      </c>
      <c r="K3" s="15" t="s">
        <v>1816</v>
      </c>
      <c r="L3" s="15" t="s">
        <v>1817</v>
      </c>
      <c r="M3" s="15" t="s">
        <v>27</v>
      </c>
      <c r="N3" s="15">
        <v>2025</v>
      </c>
      <c r="O3" s="15">
        <v>18</v>
      </c>
      <c r="P3" s="15">
        <v>12</v>
      </c>
      <c r="Q3" s="15">
        <v>3317</v>
      </c>
      <c r="R3" s="15">
        <v>3335</v>
      </c>
      <c r="S3" s="15" t="s">
        <v>1818</v>
      </c>
      <c r="T3" s="15" t="str">
        <f>HYPERLINK("http://dx.doi.org/10.1007/s12273-025-1367-y","http://dx.doi.org/10.1007/s12273-025-1367-y")</f>
        <v>http://dx.doi.org/10.1007/s12273-025-1367-y</v>
      </c>
      <c r="U3" s="15" t="s">
        <v>1806</v>
      </c>
      <c r="V3" s="15" t="s">
        <v>1819</v>
      </c>
    </row>
    <row r="4" spans="1:24" x14ac:dyDescent="0.4">
      <c r="A4" s="15" t="s">
        <v>1820</v>
      </c>
      <c r="B4" s="15" t="s">
        <v>1821</v>
      </c>
      <c r="C4" s="15" t="s">
        <v>1822</v>
      </c>
      <c r="D4" s="15" t="s">
        <v>12</v>
      </c>
      <c r="E4" s="15" t="s">
        <v>262</v>
      </c>
      <c r="F4" s="15" t="s">
        <v>1823</v>
      </c>
      <c r="G4" s="15" t="s">
        <v>1824</v>
      </c>
      <c r="H4" s="15" t="s">
        <v>1825</v>
      </c>
      <c r="I4" s="15" t="s">
        <v>1826</v>
      </c>
      <c r="J4" s="15" t="s">
        <v>1827</v>
      </c>
      <c r="K4" s="15" t="s">
        <v>1828</v>
      </c>
      <c r="L4" s="15" t="s">
        <v>1829</v>
      </c>
      <c r="M4" s="15" t="s">
        <v>27</v>
      </c>
      <c r="N4" s="15">
        <v>2025</v>
      </c>
      <c r="O4" s="15">
        <v>18</v>
      </c>
      <c r="P4" s="15">
        <v>12</v>
      </c>
      <c r="Q4" s="15">
        <v>3393</v>
      </c>
      <c r="R4" s="15">
        <v>3410</v>
      </c>
      <c r="S4" s="15" t="s">
        <v>1830</v>
      </c>
      <c r="T4" s="15" t="str">
        <f>HYPERLINK("http://dx.doi.org/10.1007/s12273-025-1360-5","http://dx.doi.org/10.1007/s12273-025-1360-5")</f>
        <v>http://dx.doi.org/10.1007/s12273-025-1360-5</v>
      </c>
      <c r="U4" s="15" t="s">
        <v>1806</v>
      </c>
      <c r="V4" s="15" t="s">
        <v>1831</v>
      </c>
    </row>
    <row r="5" spans="1:24" x14ac:dyDescent="0.4">
      <c r="A5" s="15" t="s">
        <v>1832</v>
      </c>
      <c r="B5" s="15" t="s">
        <v>1833</v>
      </c>
      <c r="C5" s="15" t="s">
        <v>1834</v>
      </c>
      <c r="D5" s="15" t="s">
        <v>12</v>
      </c>
      <c r="E5" s="15" t="s">
        <v>262</v>
      </c>
      <c r="F5" s="15" t="s">
        <v>1835</v>
      </c>
      <c r="G5" s="15" t="s">
        <v>1836</v>
      </c>
      <c r="H5" s="15" t="s">
        <v>1837</v>
      </c>
      <c r="I5" s="15" t="s">
        <v>1838</v>
      </c>
      <c r="J5" s="15" t="s">
        <v>1839</v>
      </c>
      <c r="K5" s="15" t="s">
        <v>1840</v>
      </c>
      <c r="L5" s="15" t="s">
        <v>1841</v>
      </c>
      <c r="M5" s="15" t="s">
        <v>27</v>
      </c>
      <c r="N5" s="15">
        <v>2025</v>
      </c>
      <c r="O5" s="15">
        <v>18</v>
      </c>
      <c r="P5" s="15">
        <v>12</v>
      </c>
      <c r="Q5" s="15">
        <v>3295</v>
      </c>
      <c r="R5" s="15">
        <v>3316</v>
      </c>
      <c r="S5" s="15" t="s">
        <v>1842</v>
      </c>
      <c r="T5" s="15" t="str">
        <f>HYPERLINK("http://dx.doi.org/10.1007/s12273-025-1357-0","http://dx.doi.org/10.1007/s12273-025-1357-0")</f>
        <v>http://dx.doi.org/10.1007/s12273-025-1357-0</v>
      </c>
      <c r="U5" s="15" t="s">
        <v>1806</v>
      </c>
      <c r="V5" s="15" t="s">
        <v>1843</v>
      </c>
    </row>
    <row r="6" spans="1:24" x14ac:dyDescent="0.4">
      <c r="A6" s="15" t="s">
        <v>1844</v>
      </c>
      <c r="B6" s="15" t="s">
        <v>1845</v>
      </c>
      <c r="C6" s="15" t="s">
        <v>1846</v>
      </c>
      <c r="D6" s="15" t="s">
        <v>12</v>
      </c>
      <c r="E6" s="15" t="s">
        <v>262</v>
      </c>
      <c r="F6" s="15" t="s">
        <v>1847</v>
      </c>
      <c r="G6" s="15" t="s">
        <v>1848</v>
      </c>
      <c r="H6" s="15" t="s">
        <v>1849</v>
      </c>
      <c r="I6" s="15" t="s">
        <v>1850</v>
      </c>
      <c r="J6" s="15" t="s">
        <v>1851</v>
      </c>
      <c r="K6" s="15" t="s">
        <v>1852</v>
      </c>
      <c r="L6" s="15" t="s">
        <v>1853</v>
      </c>
      <c r="M6" s="15" t="s">
        <v>27</v>
      </c>
      <c r="N6" s="15">
        <v>2025</v>
      </c>
      <c r="O6" s="15">
        <v>18</v>
      </c>
      <c r="P6" s="15">
        <v>12</v>
      </c>
      <c r="Q6" s="15">
        <v>3373</v>
      </c>
      <c r="R6" s="15">
        <v>3391</v>
      </c>
      <c r="S6" s="15" t="s">
        <v>1854</v>
      </c>
      <c r="T6" s="15" t="str">
        <f>HYPERLINK("http://dx.doi.org/10.1007/s12273-025-1391-y","http://dx.doi.org/10.1007/s12273-025-1391-y")</f>
        <v>http://dx.doi.org/10.1007/s12273-025-1391-y</v>
      </c>
      <c r="U6" s="15" t="s">
        <v>1806</v>
      </c>
      <c r="V6" s="15" t="s">
        <v>1855</v>
      </c>
    </row>
    <row r="7" spans="1:24" x14ac:dyDescent="0.4">
      <c r="A7" s="15" t="s">
        <v>1856</v>
      </c>
      <c r="B7" s="15" t="s">
        <v>1857</v>
      </c>
      <c r="C7" s="15" t="s">
        <v>1858</v>
      </c>
      <c r="D7" s="15" t="s">
        <v>12</v>
      </c>
      <c r="E7" s="15" t="s">
        <v>262</v>
      </c>
      <c r="F7" s="15" t="s">
        <v>1859</v>
      </c>
      <c r="G7" s="15" t="s">
        <v>1860</v>
      </c>
      <c r="H7" s="15" t="s">
        <v>1861</v>
      </c>
      <c r="I7" s="15" t="s">
        <v>1862</v>
      </c>
      <c r="J7" s="15" t="s">
        <v>1863</v>
      </c>
      <c r="K7" s="15" t="s">
        <v>1864</v>
      </c>
      <c r="L7" s="15" t="s">
        <v>1865</v>
      </c>
      <c r="M7" s="15" t="s">
        <v>27</v>
      </c>
      <c r="N7" s="15">
        <v>2025</v>
      </c>
      <c r="O7" s="15">
        <v>18</v>
      </c>
      <c r="P7" s="15">
        <v>12</v>
      </c>
      <c r="Q7" s="15">
        <v>3275</v>
      </c>
      <c r="R7" s="15">
        <v>3294</v>
      </c>
      <c r="S7" s="15" t="s">
        <v>1866</v>
      </c>
      <c r="T7" s="15" t="str">
        <f>HYPERLINK("http://dx.doi.org/10.1007/s12273-025-1356-1","http://dx.doi.org/10.1007/s12273-025-1356-1")</f>
        <v>http://dx.doi.org/10.1007/s12273-025-1356-1</v>
      </c>
      <c r="U7" s="15" t="s">
        <v>1806</v>
      </c>
      <c r="V7" s="15" t="s">
        <v>1867</v>
      </c>
    </row>
    <row r="8" spans="1:24" x14ac:dyDescent="0.4">
      <c r="A8" s="15" t="s">
        <v>1868</v>
      </c>
      <c r="B8" s="15" t="s">
        <v>1869</v>
      </c>
      <c r="C8" s="15" t="s">
        <v>1870</v>
      </c>
      <c r="D8" s="15" t="s">
        <v>12</v>
      </c>
      <c r="E8" s="15" t="s">
        <v>262</v>
      </c>
      <c r="F8" s="15" t="s">
        <v>1871</v>
      </c>
      <c r="G8" s="15" t="s">
        <v>1872</v>
      </c>
      <c r="H8" s="15" t="s">
        <v>1873</v>
      </c>
      <c r="I8" s="15" t="s">
        <v>1874</v>
      </c>
      <c r="J8" s="15" t="s">
        <v>1875</v>
      </c>
      <c r="K8" s="15" t="s">
        <v>1876</v>
      </c>
      <c r="L8" s="15" t="s">
        <v>1877</v>
      </c>
      <c r="M8" s="15" t="s">
        <v>27</v>
      </c>
      <c r="N8" s="15">
        <v>2025</v>
      </c>
      <c r="O8" s="15">
        <v>18</v>
      </c>
      <c r="P8" s="15">
        <v>12</v>
      </c>
      <c r="Q8" s="15">
        <v>3201</v>
      </c>
      <c r="R8" s="15">
        <v>3224</v>
      </c>
      <c r="S8" s="15" t="s">
        <v>1878</v>
      </c>
      <c r="T8" s="15" t="str">
        <f>HYPERLINK("http://dx.doi.org/10.1007/s12273-025-1364-1","http://dx.doi.org/10.1007/s12273-025-1364-1")</f>
        <v>http://dx.doi.org/10.1007/s12273-025-1364-1</v>
      </c>
      <c r="U8" s="15" t="s">
        <v>1806</v>
      </c>
      <c r="V8" s="15" t="s">
        <v>1879</v>
      </c>
    </row>
    <row r="9" spans="1:24" x14ac:dyDescent="0.4">
      <c r="A9" s="15" t="s">
        <v>1880</v>
      </c>
      <c r="B9" s="15" t="s">
        <v>1881</v>
      </c>
      <c r="C9" s="15" t="s">
        <v>1882</v>
      </c>
      <c r="D9" s="15" t="s">
        <v>12</v>
      </c>
      <c r="E9" s="15" t="s">
        <v>262</v>
      </c>
      <c r="F9" s="15" t="s">
        <v>1883</v>
      </c>
      <c r="G9" s="15" t="s">
        <v>1884</v>
      </c>
      <c r="H9" s="15" t="s">
        <v>1885</v>
      </c>
      <c r="I9" s="15" t="s">
        <v>1886</v>
      </c>
      <c r="J9" s="15" t="s">
        <v>1887</v>
      </c>
      <c r="K9" s="15" t="s">
        <v>1888</v>
      </c>
      <c r="L9" s="15" t="s">
        <v>1889</v>
      </c>
      <c r="M9" s="15" t="s">
        <v>27</v>
      </c>
      <c r="N9" s="15">
        <v>2025</v>
      </c>
      <c r="O9" s="15">
        <v>18</v>
      </c>
      <c r="P9" s="15">
        <v>12</v>
      </c>
      <c r="Q9" s="15">
        <v>3247</v>
      </c>
      <c r="R9" s="15">
        <v>3260</v>
      </c>
      <c r="S9" s="15" t="s">
        <v>1890</v>
      </c>
      <c r="T9" s="15" t="str">
        <f>HYPERLINK("http://dx.doi.org/10.1007/s12273-025-1378-8","http://dx.doi.org/10.1007/s12273-025-1378-8")</f>
        <v>http://dx.doi.org/10.1007/s12273-025-1378-8</v>
      </c>
      <c r="U9" s="15" t="s">
        <v>1806</v>
      </c>
      <c r="V9" s="15" t="s">
        <v>1891</v>
      </c>
    </row>
    <row r="10" spans="1:24" x14ac:dyDescent="0.4">
      <c r="A10" s="15" t="s">
        <v>1892</v>
      </c>
      <c r="B10" s="15" t="s">
        <v>1893</v>
      </c>
      <c r="C10" s="15" t="s">
        <v>1894</v>
      </c>
      <c r="D10" s="15" t="s">
        <v>12</v>
      </c>
      <c r="E10" s="15" t="s">
        <v>262</v>
      </c>
      <c r="F10" s="15" t="s">
        <v>1895</v>
      </c>
      <c r="G10" s="15" t="s">
        <v>1896</v>
      </c>
      <c r="H10" s="15" t="s">
        <v>1897</v>
      </c>
      <c r="I10" s="15" t="s">
        <v>1898</v>
      </c>
      <c r="J10" s="15" t="s">
        <v>1899</v>
      </c>
      <c r="K10" s="15" t="s">
        <v>1900</v>
      </c>
      <c r="L10" s="15" t="s">
        <v>1901</v>
      </c>
      <c r="M10" s="15" t="s">
        <v>27</v>
      </c>
      <c r="N10" s="15">
        <v>2025</v>
      </c>
      <c r="O10" s="15">
        <v>18</v>
      </c>
      <c r="P10" s="15">
        <v>12</v>
      </c>
      <c r="Q10" s="15">
        <v>3357</v>
      </c>
      <c r="R10" s="15">
        <v>3372</v>
      </c>
      <c r="S10" s="15" t="s">
        <v>1902</v>
      </c>
      <c r="T10" s="15" t="str">
        <f>HYPERLINK("http://dx.doi.org/10.1007/s12273-025-1387-7","http://dx.doi.org/10.1007/s12273-025-1387-7")</f>
        <v>http://dx.doi.org/10.1007/s12273-025-1387-7</v>
      </c>
      <c r="U10" s="15" t="s">
        <v>1806</v>
      </c>
      <c r="V10" s="15" t="s">
        <v>1903</v>
      </c>
    </row>
    <row r="11" spans="1:24" x14ac:dyDescent="0.4">
      <c r="A11" s="15" t="s">
        <v>1904</v>
      </c>
      <c r="B11" s="15" t="s">
        <v>1905</v>
      </c>
      <c r="C11" s="15" t="s">
        <v>1906</v>
      </c>
      <c r="D11" s="15" t="s">
        <v>12</v>
      </c>
      <c r="E11" s="15" t="s">
        <v>262</v>
      </c>
      <c r="F11" s="15" t="s">
        <v>1907</v>
      </c>
      <c r="G11" s="15" t="s">
        <v>296</v>
      </c>
      <c r="H11" s="15" t="s">
        <v>1908</v>
      </c>
      <c r="I11" s="15" t="s">
        <v>1909</v>
      </c>
      <c r="J11" s="15" t="s">
        <v>1910</v>
      </c>
      <c r="K11" s="15" t="s">
        <v>1911</v>
      </c>
      <c r="L11" s="15" t="s">
        <v>1912</v>
      </c>
      <c r="M11" s="15" t="s">
        <v>27</v>
      </c>
      <c r="N11" s="15">
        <v>2025</v>
      </c>
      <c r="O11" s="15">
        <v>18</v>
      </c>
      <c r="P11" s="15">
        <v>12</v>
      </c>
      <c r="Q11" s="15">
        <v>3337</v>
      </c>
      <c r="R11" s="15">
        <v>3356</v>
      </c>
      <c r="S11" s="15" t="s">
        <v>1913</v>
      </c>
      <c r="T11" s="15" t="str">
        <f>HYPERLINK("http://dx.doi.org/10.1007/s12273-025-1374-z","http://dx.doi.org/10.1007/s12273-025-1374-z")</f>
        <v>http://dx.doi.org/10.1007/s12273-025-1374-z</v>
      </c>
      <c r="U11" s="15" t="s">
        <v>1806</v>
      </c>
      <c r="V11" s="15" t="s">
        <v>1914</v>
      </c>
    </row>
    <row r="12" spans="1:24" x14ac:dyDescent="0.4">
      <c r="A12" s="15" t="s">
        <v>1915</v>
      </c>
      <c r="B12" s="15" t="s">
        <v>1916</v>
      </c>
      <c r="C12" s="15" t="s">
        <v>1917</v>
      </c>
      <c r="D12" s="15" t="s">
        <v>12</v>
      </c>
      <c r="E12" s="15" t="s">
        <v>262</v>
      </c>
      <c r="F12" s="15" t="s">
        <v>1918</v>
      </c>
      <c r="G12" s="15" t="s">
        <v>1919</v>
      </c>
      <c r="H12" s="15" t="s">
        <v>1920</v>
      </c>
      <c r="I12" s="15" t="s">
        <v>1921</v>
      </c>
      <c r="J12" s="15" t="s">
        <v>1922</v>
      </c>
      <c r="K12" s="15" t="s">
        <v>1923</v>
      </c>
      <c r="L12" s="15" t="s">
        <v>1924</v>
      </c>
      <c r="M12" s="15" t="s">
        <v>14</v>
      </c>
      <c r="N12" s="15">
        <v>2025</v>
      </c>
      <c r="O12" s="15">
        <v>18</v>
      </c>
      <c r="P12" s="15">
        <v>11</v>
      </c>
      <c r="Q12" s="15">
        <v>2963</v>
      </c>
      <c r="R12" s="15">
        <v>2983</v>
      </c>
      <c r="S12" s="15" t="s">
        <v>1925</v>
      </c>
      <c r="T12" s="15" t="str">
        <f>HYPERLINK("http://dx.doi.org/10.1007/s12273-025-1353-4","http://dx.doi.org/10.1007/s12273-025-1353-4")</f>
        <v>http://dx.doi.org/10.1007/s12273-025-1353-4</v>
      </c>
      <c r="U12" s="15" t="s">
        <v>1806</v>
      </c>
      <c r="V12" s="15" t="s">
        <v>1926</v>
      </c>
    </row>
    <row r="13" spans="1:24" x14ac:dyDescent="0.4">
      <c r="A13" s="15" t="s">
        <v>1927</v>
      </c>
      <c r="B13" s="15" t="s">
        <v>1928</v>
      </c>
      <c r="C13" s="15" t="s">
        <v>1929</v>
      </c>
      <c r="D13" s="15" t="s">
        <v>12</v>
      </c>
      <c r="E13" s="15" t="s">
        <v>262</v>
      </c>
      <c r="F13" s="15" t="s">
        <v>1930</v>
      </c>
      <c r="G13" s="15" t="s">
        <v>1931</v>
      </c>
      <c r="H13" s="15" t="s">
        <v>1932</v>
      </c>
      <c r="I13" s="15" t="s">
        <v>1933</v>
      </c>
      <c r="J13" s="15" t="s">
        <v>1934</v>
      </c>
      <c r="K13" s="15" t="s">
        <v>1935</v>
      </c>
      <c r="L13" s="15" t="s">
        <v>1936</v>
      </c>
      <c r="M13" s="15" t="s">
        <v>14</v>
      </c>
      <c r="N13" s="15">
        <v>2025</v>
      </c>
      <c r="O13" s="15">
        <v>18</v>
      </c>
      <c r="P13" s="15">
        <v>11</v>
      </c>
      <c r="Q13" s="15">
        <v>3045</v>
      </c>
      <c r="R13" s="15">
        <v>3067</v>
      </c>
      <c r="S13" s="15" t="s">
        <v>1937</v>
      </c>
      <c r="T13" s="15" t="str">
        <f>HYPERLINK("http://dx.doi.org/10.1007/s12273-025-1373-0","http://dx.doi.org/10.1007/s12273-025-1373-0")</f>
        <v>http://dx.doi.org/10.1007/s12273-025-1373-0</v>
      </c>
      <c r="U13" s="15" t="s">
        <v>1806</v>
      </c>
      <c r="V13" s="15" t="s">
        <v>1938</v>
      </c>
    </row>
    <row r="14" spans="1:24" x14ac:dyDescent="0.4">
      <c r="A14" s="15" t="s">
        <v>1939</v>
      </c>
      <c r="B14" s="15" t="s">
        <v>1940</v>
      </c>
      <c r="C14" s="15" t="s">
        <v>1941</v>
      </c>
      <c r="D14" s="15" t="s">
        <v>12</v>
      </c>
      <c r="E14" s="15" t="s">
        <v>262</v>
      </c>
      <c r="F14" s="15" t="s">
        <v>1942</v>
      </c>
      <c r="G14" s="15" t="s">
        <v>1943</v>
      </c>
      <c r="H14" s="15" t="s">
        <v>1944</v>
      </c>
      <c r="I14" s="15" t="s">
        <v>1945</v>
      </c>
      <c r="J14" s="15" t="s">
        <v>1946</v>
      </c>
      <c r="K14" s="15" t="s">
        <v>1947</v>
      </c>
      <c r="L14" s="15" t="s">
        <v>1948</v>
      </c>
      <c r="M14" s="15" t="s">
        <v>14</v>
      </c>
      <c r="N14" s="15">
        <v>2025</v>
      </c>
      <c r="O14" s="15">
        <v>18</v>
      </c>
      <c r="P14" s="15">
        <v>11</v>
      </c>
      <c r="Q14" s="15">
        <v>2985</v>
      </c>
      <c r="R14" s="15">
        <v>3010</v>
      </c>
      <c r="S14" s="15" t="s">
        <v>1949</v>
      </c>
      <c r="T14" s="15" t="str">
        <f>HYPERLINK("http://dx.doi.org/10.1007/s12273-025-1355-2","http://dx.doi.org/10.1007/s12273-025-1355-2")</f>
        <v>http://dx.doi.org/10.1007/s12273-025-1355-2</v>
      </c>
      <c r="U14" s="15" t="s">
        <v>1806</v>
      </c>
      <c r="V14" s="15" t="s">
        <v>1950</v>
      </c>
    </row>
    <row r="15" spans="1:24" x14ac:dyDescent="0.4">
      <c r="A15" s="15" t="s">
        <v>1951</v>
      </c>
      <c r="B15" s="15" t="s">
        <v>1952</v>
      </c>
      <c r="C15" s="15" t="s">
        <v>1953</v>
      </c>
      <c r="D15" s="15" t="s">
        <v>12</v>
      </c>
      <c r="E15" s="15" t="s">
        <v>262</v>
      </c>
      <c r="F15" s="15" t="s">
        <v>1954</v>
      </c>
      <c r="G15" s="15" t="s">
        <v>1955</v>
      </c>
      <c r="H15" s="15" t="s">
        <v>1956</v>
      </c>
      <c r="I15" s="15" t="s">
        <v>1957</v>
      </c>
      <c r="J15" s="15" t="s">
        <v>1958</v>
      </c>
      <c r="K15" s="15" t="s">
        <v>1959</v>
      </c>
      <c r="L15" s="15" t="s">
        <v>1960</v>
      </c>
      <c r="M15" s="15" t="s">
        <v>27</v>
      </c>
      <c r="N15" s="15">
        <v>2025</v>
      </c>
      <c r="O15" s="15">
        <v>18</v>
      </c>
      <c r="P15" s="15">
        <v>12</v>
      </c>
      <c r="Q15" s="15">
        <v>3261</v>
      </c>
      <c r="R15" s="15">
        <v>3274</v>
      </c>
      <c r="S15" s="15" t="s">
        <v>1961</v>
      </c>
      <c r="T15" s="15" t="str">
        <f>HYPERLINK("http://dx.doi.org/10.1007/s12273-025-1381-0","http://dx.doi.org/10.1007/s12273-025-1381-0")</f>
        <v>http://dx.doi.org/10.1007/s12273-025-1381-0</v>
      </c>
      <c r="U15" s="15" t="s">
        <v>1806</v>
      </c>
      <c r="V15" s="15" t="s">
        <v>1962</v>
      </c>
    </row>
    <row r="16" spans="1:24" x14ac:dyDescent="0.4">
      <c r="A16" s="15" t="s">
        <v>1963</v>
      </c>
      <c r="B16" s="15" t="s">
        <v>1964</v>
      </c>
      <c r="C16" s="15" t="s">
        <v>1965</v>
      </c>
      <c r="D16" s="15" t="s">
        <v>12</v>
      </c>
      <c r="E16" s="15" t="s">
        <v>262</v>
      </c>
      <c r="F16" s="15" t="s">
        <v>1966</v>
      </c>
      <c r="G16" s="15" t="s">
        <v>1967</v>
      </c>
      <c r="H16" s="15" t="s">
        <v>1968</v>
      </c>
      <c r="I16" s="15" t="s">
        <v>1969</v>
      </c>
      <c r="J16" s="15" t="s">
        <v>263</v>
      </c>
      <c r="K16" s="15" t="s">
        <v>1970</v>
      </c>
      <c r="L16" s="15" t="s">
        <v>1971</v>
      </c>
      <c r="M16" s="15" t="s">
        <v>14</v>
      </c>
      <c r="N16" s="15">
        <v>2025</v>
      </c>
      <c r="O16" s="15">
        <v>18</v>
      </c>
      <c r="P16" s="15">
        <v>11</v>
      </c>
      <c r="Q16" s="15">
        <v>2899</v>
      </c>
      <c r="R16" s="15">
        <v>2921</v>
      </c>
      <c r="S16" s="15" t="s">
        <v>1972</v>
      </c>
      <c r="T16" s="15" t="str">
        <f>HYPERLINK("http://dx.doi.org/10.1007/s12273-025-1343-6","http://dx.doi.org/10.1007/s12273-025-1343-6")</f>
        <v>http://dx.doi.org/10.1007/s12273-025-1343-6</v>
      </c>
      <c r="U16" s="15" t="s">
        <v>1973</v>
      </c>
      <c r="V16" s="15" t="s">
        <v>1974</v>
      </c>
    </row>
    <row r="17" spans="1:22" x14ac:dyDescent="0.4">
      <c r="A17" s="15" t="s">
        <v>1975</v>
      </c>
      <c r="B17" s="15" t="s">
        <v>1976</v>
      </c>
      <c r="C17" s="15" t="s">
        <v>1977</v>
      </c>
      <c r="D17" s="15" t="s">
        <v>12</v>
      </c>
      <c r="E17" s="15" t="s">
        <v>262</v>
      </c>
      <c r="F17" s="15" t="s">
        <v>1978</v>
      </c>
      <c r="G17" s="15" t="s">
        <v>1979</v>
      </c>
      <c r="H17" s="15" t="s">
        <v>1980</v>
      </c>
      <c r="I17" s="15" t="s">
        <v>1981</v>
      </c>
      <c r="J17" s="15" t="s">
        <v>1982</v>
      </c>
      <c r="K17" s="15" t="s">
        <v>1983</v>
      </c>
      <c r="L17" s="15" t="s">
        <v>1984</v>
      </c>
      <c r="M17" s="15" t="s">
        <v>14</v>
      </c>
      <c r="N17" s="15">
        <v>2025</v>
      </c>
      <c r="O17" s="15">
        <v>18</v>
      </c>
      <c r="P17" s="15">
        <v>11</v>
      </c>
      <c r="Q17" s="15">
        <v>2923</v>
      </c>
      <c r="R17" s="15">
        <v>2944</v>
      </c>
      <c r="S17" s="15" t="s">
        <v>1985</v>
      </c>
      <c r="T17" s="15" t="str">
        <f>HYPERLINK("http://dx.doi.org/10.1007/s12273-025-1345-4","http://dx.doi.org/10.1007/s12273-025-1345-4")</f>
        <v>http://dx.doi.org/10.1007/s12273-025-1345-4</v>
      </c>
      <c r="U17" s="15" t="s">
        <v>1973</v>
      </c>
      <c r="V17" s="15" t="s">
        <v>1986</v>
      </c>
    </row>
    <row r="18" spans="1:22" x14ac:dyDescent="0.4">
      <c r="A18" s="15" t="s">
        <v>1987</v>
      </c>
      <c r="B18" s="15" t="s">
        <v>1988</v>
      </c>
      <c r="C18" s="15" t="s">
        <v>1989</v>
      </c>
      <c r="D18" s="15" t="s">
        <v>12</v>
      </c>
      <c r="E18" s="15" t="s">
        <v>262</v>
      </c>
      <c r="F18" s="15" t="s">
        <v>1990</v>
      </c>
      <c r="G18" s="15" t="s">
        <v>1991</v>
      </c>
      <c r="H18" s="15" t="s">
        <v>1992</v>
      </c>
      <c r="I18" s="15" t="s">
        <v>1993</v>
      </c>
      <c r="J18" s="15" t="s">
        <v>1994</v>
      </c>
      <c r="K18" s="15" t="s">
        <v>1995</v>
      </c>
      <c r="L18" s="15" t="s">
        <v>690</v>
      </c>
      <c r="M18" s="15" t="s">
        <v>14</v>
      </c>
      <c r="N18" s="15">
        <v>2025</v>
      </c>
      <c r="O18" s="15">
        <v>18</v>
      </c>
      <c r="P18" s="15">
        <v>11</v>
      </c>
      <c r="Q18" s="15">
        <v>3031</v>
      </c>
      <c r="R18" s="15">
        <v>3043</v>
      </c>
      <c r="S18" s="15" t="s">
        <v>1996</v>
      </c>
      <c r="T18" s="15" t="str">
        <f>HYPERLINK("http://dx.doi.org/10.1007/s12273-025-1361-4","http://dx.doi.org/10.1007/s12273-025-1361-4")</f>
        <v>http://dx.doi.org/10.1007/s12273-025-1361-4</v>
      </c>
      <c r="U18" s="15" t="s">
        <v>1997</v>
      </c>
      <c r="V18" s="15" t="s">
        <v>1998</v>
      </c>
    </row>
    <row r="19" spans="1:22" x14ac:dyDescent="0.4">
      <c r="A19" s="15" t="s">
        <v>1999</v>
      </c>
      <c r="B19" s="15" t="s">
        <v>2000</v>
      </c>
      <c r="C19" s="15" t="s">
        <v>2001</v>
      </c>
      <c r="D19" s="15" t="s">
        <v>12</v>
      </c>
      <c r="E19" s="15" t="s">
        <v>262</v>
      </c>
      <c r="F19" s="15" t="s">
        <v>2002</v>
      </c>
      <c r="G19" s="15" t="s">
        <v>2003</v>
      </c>
      <c r="H19" s="15" t="s">
        <v>2004</v>
      </c>
      <c r="I19" s="15" t="s">
        <v>2005</v>
      </c>
      <c r="J19" s="15" t="s">
        <v>2006</v>
      </c>
      <c r="K19" s="15" t="s">
        <v>2007</v>
      </c>
      <c r="L19" s="15" t="s">
        <v>2008</v>
      </c>
      <c r="M19" s="15" t="s">
        <v>15</v>
      </c>
      <c r="N19" s="15">
        <v>2025</v>
      </c>
      <c r="O19" s="15">
        <v>18</v>
      </c>
      <c r="P19" s="15">
        <v>10</v>
      </c>
      <c r="Q19" s="15">
        <v>2601</v>
      </c>
      <c r="R19" s="15">
        <v>2623</v>
      </c>
      <c r="S19" s="15" t="s">
        <v>2009</v>
      </c>
      <c r="T19" s="15" t="str">
        <f>HYPERLINK("http://dx.doi.org/10.1007/s12273-025-1342-7","http://dx.doi.org/10.1007/s12273-025-1342-7")</f>
        <v>http://dx.doi.org/10.1007/s12273-025-1342-7</v>
      </c>
      <c r="U19" s="15" t="s">
        <v>1997</v>
      </c>
      <c r="V19" s="15" t="s">
        <v>2010</v>
      </c>
    </row>
    <row r="20" spans="1:22" x14ac:dyDescent="0.4">
      <c r="A20" s="15" t="s">
        <v>2011</v>
      </c>
      <c r="B20" s="15" t="s">
        <v>2012</v>
      </c>
      <c r="C20" s="15" t="s">
        <v>2013</v>
      </c>
      <c r="D20" s="15" t="s">
        <v>12</v>
      </c>
      <c r="E20" s="15" t="s">
        <v>262</v>
      </c>
      <c r="F20" s="15" t="s">
        <v>2014</v>
      </c>
      <c r="G20" s="15" t="s">
        <v>11</v>
      </c>
      <c r="H20" s="15" t="s">
        <v>2015</v>
      </c>
      <c r="I20" s="15" t="s">
        <v>2016</v>
      </c>
      <c r="J20" s="15" t="s">
        <v>284</v>
      </c>
      <c r="K20" s="15" t="s">
        <v>2017</v>
      </c>
      <c r="L20" s="15" t="s">
        <v>286</v>
      </c>
      <c r="M20" s="15" t="s">
        <v>15</v>
      </c>
      <c r="N20" s="15">
        <v>2025</v>
      </c>
      <c r="O20" s="15">
        <v>18</v>
      </c>
      <c r="P20" s="15">
        <v>10</v>
      </c>
      <c r="Q20" s="15">
        <v>2757</v>
      </c>
      <c r="R20" s="15">
        <v>2776</v>
      </c>
      <c r="S20" s="15" t="s">
        <v>2018</v>
      </c>
      <c r="T20" s="15" t="str">
        <f>HYPERLINK("http://dx.doi.org/10.1007/s12273-025-1336-5","http://dx.doi.org/10.1007/s12273-025-1336-5")</f>
        <v>http://dx.doi.org/10.1007/s12273-025-1336-5</v>
      </c>
      <c r="U20" s="15" t="s">
        <v>1997</v>
      </c>
      <c r="V20" s="15" t="s">
        <v>2019</v>
      </c>
    </row>
    <row r="21" spans="1:22" x14ac:dyDescent="0.4">
      <c r="A21" s="15" t="s">
        <v>2020</v>
      </c>
      <c r="B21" s="15" t="s">
        <v>2021</v>
      </c>
      <c r="C21" s="15" t="s">
        <v>2022</v>
      </c>
      <c r="D21" s="15" t="s">
        <v>12</v>
      </c>
      <c r="E21" s="15" t="s">
        <v>262</v>
      </c>
      <c r="F21" s="15" t="s">
        <v>2023</v>
      </c>
      <c r="G21" s="15" t="s">
        <v>2024</v>
      </c>
      <c r="H21" s="15" t="s">
        <v>2025</v>
      </c>
      <c r="I21" s="15" t="s">
        <v>2026</v>
      </c>
      <c r="J21" s="15" t="s">
        <v>2027</v>
      </c>
      <c r="K21" s="15" t="s">
        <v>2028</v>
      </c>
      <c r="L21" s="15" t="s">
        <v>2029</v>
      </c>
      <c r="M21" s="15" t="s">
        <v>14</v>
      </c>
      <c r="N21" s="15">
        <v>2025</v>
      </c>
      <c r="O21" s="15">
        <v>18</v>
      </c>
      <c r="P21" s="15">
        <v>11</v>
      </c>
      <c r="Q21" s="15">
        <v>3133</v>
      </c>
      <c r="R21" s="15">
        <v>3152</v>
      </c>
      <c r="S21" s="15" t="s">
        <v>2030</v>
      </c>
      <c r="T21" s="15" t="str">
        <f>HYPERLINK("http://dx.doi.org/10.1007/s12273-025-1365-0","http://dx.doi.org/10.1007/s12273-025-1365-0")</f>
        <v>http://dx.doi.org/10.1007/s12273-025-1365-0</v>
      </c>
      <c r="U21" s="15" t="s">
        <v>1997</v>
      </c>
      <c r="V21" s="15" t="s">
        <v>2031</v>
      </c>
    </row>
    <row r="22" spans="1:22" x14ac:dyDescent="0.4">
      <c r="A22" s="15" t="s">
        <v>2032</v>
      </c>
      <c r="B22" s="15" t="s">
        <v>2033</v>
      </c>
      <c r="C22" s="15" t="s">
        <v>2034</v>
      </c>
      <c r="D22" s="15" t="s">
        <v>12</v>
      </c>
      <c r="E22" s="15" t="s">
        <v>262</v>
      </c>
      <c r="F22" s="15" t="s">
        <v>2035</v>
      </c>
      <c r="G22" s="15" t="s">
        <v>2036</v>
      </c>
      <c r="H22" s="15" t="s">
        <v>2037</v>
      </c>
      <c r="I22" s="15" t="s">
        <v>2038</v>
      </c>
      <c r="J22" s="15" t="s">
        <v>2039</v>
      </c>
      <c r="K22" s="15" t="s">
        <v>2040</v>
      </c>
      <c r="L22" s="15" t="s">
        <v>2041</v>
      </c>
      <c r="M22" s="15" t="s">
        <v>15</v>
      </c>
      <c r="N22" s="15">
        <v>2025</v>
      </c>
      <c r="O22" s="15">
        <v>18</v>
      </c>
      <c r="P22" s="15">
        <v>10</v>
      </c>
      <c r="Q22" s="15">
        <v>2825</v>
      </c>
      <c r="R22" s="15">
        <v>2847</v>
      </c>
      <c r="S22" s="15" t="s">
        <v>2042</v>
      </c>
      <c r="T22" s="15" t="str">
        <f>HYPERLINK("http://dx.doi.org/10.1007/s12273-025-1341-8","http://dx.doi.org/10.1007/s12273-025-1341-8")</f>
        <v>http://dx.doi.org/10.1007/s12273-025-1341-8</v>
      </c>
      <c r="U22" s="15" t="s">
        <v>1997</v>
      </c>
      <c r="V22" s="15" t="s">
        <v>2043</v>
      </c>
    </row>
    <row r="23" spans="1:22" x14ac:dyDescent="0.4">
      <c r="A23" s="15" t="s">
        <v>2044</v>
      </c>
      <c r="B23" s="15" t="s">
        <v>2045</v>
      </c>
      <c r="C23" s="15" t="s">
        <v>2046</v>
      </c>
      <c r="D23" s="15" t="s">
        <v>12</v>
      </c>
      <c r="E23" s="15" t="s">
        <v>262</v>
      </c>
      <c r="F23" s="15" t="s">
        <v>2047</v>
      </c>
      <c r="G23" s="15" t="s">
        <v>2048</v>
      </c>
      <c r="H23" s="15" t="s">
        <v>2049</v>
      </c>
      <c r="I23" s="15" t="s">
        <v>2050</v>
      </c>
      <c r="J23" s="15" t="s">
        <v>2051</v>
      </c>
      <c r="K23" s="15" t="s">
        <v>2052</v>
      </c>
      <c r="L23" s="15" t="s">
        <v>2053</v>
      </c>
      <c r="M23" s="15" t="s">
        <v>27</v>
      </c>
      <c r="N23" s="15">
        <v>2025</v>
      </c>
      <c r="O23" s="15">
        <v>18</v>
      </c>
      <c r="P23" s="15">
        <v>12</v>
      </c>
      <c r="Q23" s="15">
        <v>3153</v>
      </c>
      <c r="R23" s="15">
        <v>3171</v>
      </c>
      <c r="S23" s="15" t="s">
        <v>2054</v>
      </c>
      <c r="T23" s="15" t="str">
        <f>HYPERLINK("http://dx.doi.org/10.1007/s12273-025-1363-2","http://dx.doi.org/10.1007/s12273-025-1363-2")</f>
        <v>http://dx.doi.org/10.1007/s12273-025-1363-2</v>
      </c>
      <c r="U23" s="15" t="s">
        <v>1997</v>
      </c>
      <c r="V23" s="15" t="s">
        <v>2055</v>
      </c>
    </row>
    <row r="24" spans="1:22" x14ac:dyDescent="0.4">
      <c r="A24" s="15" t="s">
        <v>2056</v>
      </c>
      <c r="B24" s="15" t="s">
        <v>2057</v>
      </c>
      <c r="C24" s="15" t="s">
        <v>2058</v>
      </c>
      <c r="D24" s="15" t="s">
        <v>12</v>
      </c>
      <c r="E24" s="15" t="s">
        <v>262</v>
      </c>
      <c r="F24" s="15" t="s">
        <v>2059</v>
      </c>
      <c r="G24" s="15" t="s">
        <v>2060</v>
      </c>
      <c r="H24" s="15" t="s">
        <v>2061</v>
      </c>
      <c r="I24" s="15" t="s">
        <v>2062</v>
      </c>
      <c r="J24" s="15" t="s">
        <v>2063</v>
      </c>
      <c r="K24" s="15" t="s">
        <v>2064</v>
      </c>
      <c r="L24" s="15" t="s">
        <v>2065</v>
      </c>
      <c r="M24" s="15" t="s">
        <v>14</v>
      </c>
      <c r="N24" s="15">
        <v>2025</v>
      </c>
      <c r="O24" s="15">
        <v>18</v>
      </c>
      <c r="P24" s="15">
        <v>11</v>
      </c>
      <c r="Q24" s="15">
        <v>3119</v>
      </c>
      <c r="R24" s="15">
        <v>3132</v>
      </c>
      <c r="S24" s="15" t="s">
        <v>2066</v>
      </c>
      <c r="T24" s="15" t="str">
        <f>HYPERLINK("http://dx.doi.org/10.1007/s12273-025-1352-5","http://dx.doi.org/10.1007/s12273-025-1352-5")</f>
        <v>http://dx.doi.org/10.1007/s12273-025-1352-5</v>
      </c>
      <c r="U24" s="15" t="s">
        <v>1997</v>
      </c>
      <c r="V24" s="15" t="s">
        <v>2067</v>
      </c>
    </row>
    <row r="25" spans="1:22" x14ac:dyDescent="0.4">
      <c r="A25" s="15" t="s">
        <v>2068</v>
      </c>
      <c r="B25" s="15" t="s">
        <v>2069</v>
      </c>
      <c r="C25" s="15" t="s">
        <v>2070</v>
      </c>
      <c r="D25" s="15" t="s">
        <v>12</v>
      </c>
      <c r="E25" s="15" t="s">
        <v>262</v>
      </c>
      <c r="F25" s="15" t="s">
        <v>2071</v>
      </c>
      <c r="G25" s="15" t="s">
        <v>2072</v>
      </c>
      <c r="H25" s="15" t="s">
        <v>2073</v>
      </c>
      <c r="I25" s="15" t="s">
        <v>2074</v>
      </c>
      <c r="J25" s="15" t="s">
        <v>355</v>
      </c>
      <c r="K25" s="15" t="s">
        <v>2075</v>
      </c>
      <c r="L25" s="15" t="s">
        <v>2076</v>
      </c>
      <c r="M25" s="15" t="s">
        <v>14</v>
      </c>
      <c r="N25" s="15">
        <v>2025</v>
      </c>
      <c r="O25" s="15">
        <v>18</v>
      </c>
      <c r="P25" s="15">
        <v>11</v>
      </c>
      <c r="Q25" s="15">
        <v>3097</v>
      </c>
      <c r="R25" s="15">
        <v>3118</v>
      </c>
      <c r="S25" s="15" t="s">
        <v>2077</v>
      </c>
      <c r="T25" s="15" t="str">
        <f>HYPERLINK("http://dx.doi.org/10.1007/s12273-025-1350-7","http://dx.doi.org/10.1007/s12273-025-1350-7")</f>
        <v>http://dx.doi.org/10.1007/s12273-025-1350-7</v>
      </c>
      <c r="U25" s="15" t="s">
        <v>1997</v>
      </c>
      <c r="V25" s="15" t="s">
        <v>2078</v>
      </c>
    </row>
    <row r="26" spans="1:22" x14ac:dyDescent="0.4">
      <c r="A26" s="15" t="s">
        <v>305</v>
      </c>
      <c r="B26" s="15" t="s">
        <v>17</v>
      </c>
      <c r="C26" s="15" t="s">
        <v>2079</v>
      </c>
      <c r="D26" s="15" t="s">
        <v>12</v>
      </c>
      <c r="E26" s="15" t="s">
        <v>262</v>
      </c>
      <c r="F26" s="15" t="s">
        <v>2080</v>
      </c>
      <c r="G26" s="15" t="s">
        <v>2081</v>
      </c>
      <c r="H26" s="15" t="s">
        <v>2082</v>
      </c>
      <c r="I26" s="15" t="s">
        <v>2083</v>
      </c>
      <c r="J26" s="15" t="s">
        <v>2084</v>
      </c>
      <c r="K26" s="15" t="s">
        <v>306</v>
      </c>
      <c r="L26" s="15" t="s">
        <v>279</v>
      </c>
      <c r="M26" s="15" t="s">
        <v>14</v>
      </c>
      <c r="N26" s="15">
        <v>2025</v>
      </c>
      <c r="O26" s="15">
        <v>18</v>
      </c>
      <c r="P26" s="15">
        <v>11</v>
      </c>
      <c r="Q26" s="15">
        <v>3069</v>
      </c>
      <c r="R26" s="15">
        <v>3095</v>
      </c>
      <c r="S26" s="15" t="s">
        <v>2085</v>
      </c>
      <c r="T26" s="15" t="str">
        <f>HYPERLINK("http://dx.doi.org/10.1007/s12273-025-1346-3","http://dx.doi.org/10.1007/s12273-025-1346-3")</f>
        <v>http://dx.doi.org/10.1007/s12273-025-1346-3</v>
      </c>
      <c r="U26" s="15" t="s">
        <v>1997</v>
      </c>
      <c r="V26" s="15" t="s">
        <v>2086</v>
      </c>
    </row>
    <row r="27" spans="1:22" x14ac:dyDescent="0.4">
      <c r="A27" s="15" t="s">
        <v>2087</v>
      </c>
      <c r="B27" s="15" t="s">
        <v>2088</v>
      </c>
      <c r="C27" s="15" t="s">
        <v>2089</v>
      </c>
      <c r="D27" s="15" t="s">
        <v>12</v>
      </c>
      <c r="E27" s="15" t="s">
        <v>262</v>
      </c>
      <c r="F27" s="15" t="s">
        <v>2090</v>
      </c>
      <c r="G27" s="15" t="s">
        <v>11</v>
      </c>
      <c r="H27" s="15" t="s">
        <v>2091</v>
      </c>
      <c r="I27" s="15" t="s">
        <v>2092</v>
      </c>
      <c r="J27" s="15" t="s">
        <v>2093</v>
      </c>
      <c r="K27" s="15" t="s">
        <v>2094</v>
      </c>
      <c r="L27" s="15" t="s">
        <v>2095</v>
      </c>
      <c r="M27" s="15" t="s">
        <v>15</v>
      </c>
      <c r="N27" s="15">
        <v>2025</v>
      </c>
      <c r="O27" s="15">
        <v>18</v>
      </c>
      <c r="P27" s="15">
        <v>10</v>
      </c>
      <c r="Q27" s="15">
        <v>2741</v>
      </c>
      <c r="R27" s="15">
        <v>2756</v>
      </c>
      <c r="S27" s="15" t="s">
        <v>2096</v>
      </c>
      <c r="T27" s="15" t="str">
        <f>HYPERLINK("http://dx.doi.org/10.1007/s12273-025-1334-7","http://dx.doi.org/10.1007/s12273-025-1334-7")</f>
        <v>http://dx.doi.org/10.1007/s12273-025-1334-7</v>
      </c>
      <c r="U27" s="15" t="s">
        <v>2097</v>
      </c>
      <c r="V27" s="15" t="s">
        <v>2098</v>
      </c>
    </row>
    <row r="28" spans="1:22" x14ac:dyDescent="0.4">
      <c r="A28" s="15" t="s">
        <v>2099</v>
      </c>
      <c r="B28" s="15" t="s">
        <v>2100</v>
      </c>
      <c r="C28" s="15" t="s">
        <v>2101</v>
      </c>
      <c r="D28" s="15" t="s">
        <v>12</v>
      </c>
      <c r="E28" s="15" t="s">
        <v>262</v>
      </c>
      <c r="F28" s="15" t="s">
        <v>2102</v>
      </c>
      <c r="G28" s="15" t="s">
        <v>2103</v>
      </c>
      <c r="H28" s="15" t="s">
        <v>2104</v>
      </c>
      <c r="I28" s="15" t="s">
        <v>2105</v>
      </c>
      <c r="J28" s="15" t="s">
        <v>2106</v>
      </c>
      <c r="K28" s="15" t="s">
        <v>2107</v>
      </c>
      <c r="L28" s="15" t="s">
        <v>2108</v>
      </c>
      <c r="M28" s="15" t="s">
        <v>15</v>
      </c>
      <c r="N28" s="15">
        <v>2025</v>
      </c>
      <c r="O28" s="15">
        <v>18</v>
      </c>
      <c r="P28" s="15">
        <v>10</v>
      </c>
      <c r="Q28" s="15">
        <v>2697</v>
      </c>
      <c r="R28" s="15">
        <v>2721</v>
      </c>
      <c r="S28" s="15" t="s">
        <v>2109</v>
      </c>
      <c r="T28" s="15" t="str">
        <f>HYPERLINK("http://dx.doi.org/10.1007/s12273-025-1344-5","http://dx.doi.org/10.1007/s12273-025-1344-5")</f>
        <v>http://dx.doi.org/10.1007/s12273-025-1344-5</v>
      </c>
      <c r="U28" s="15" t="s">
        <v>2097</v>
      </c>
      <c r="V28" s="15" t="s">
        <v>2110</v>
      </c>
    </row>
    <row r="29" spans="1:22" x14ac:dyDescent="0.4">
      <c r="A29" s="15" t="s">
        <v>2111</v>
      </c>
      <c r="B29" s="15" t="s">
        <v>2112</v>
      </c>
      <c r="C29" s="15" t="s">
        <v>2113</v>
      </c>
      <c r="D29" s="15" t="s">
        <v>12</v>
      </c>
      <c r="E29" s="15" t="s">
        <v>262</v>
      </c>
      <c r="F29" s="15" t="s">
        <v>2114</v>
      </c>
      <c r="G29" s="15" t="s">
        <v>2115</v>
      </c>
      <c r="H29" s="15" t="s">
        <v>2116</v>
      </c>
      <c r="I29" s="15" t="s">
        <v>2117</v>
      </c>
      <c r="J29" s="15" t="s">
        <v>2118</v>
      </c>
      <c r="K29" s="15" t="s">
        <v>2119</v>
      </c>
      <c r="L29" s="15" t="s">
        <v>302</v>
      </c>
      <c r="M29" s="15" t="s">
        <v>15</v>
      </c>
      <c r="N29" s="15">
        <v>2025</v>
      </c>
      <c r="O29" s="15">
        <v>18</v>
      </c>
      <c r="P29" s="15">
        <v>10</v>
      </c>
      <c r="Q29" s="15">
        <v>2559</v>
      </c>
      <c r="R29" s="15">
        <v>2576</v>
      </c>
      <c r="S29" s="15" t="s">
        <v>2120</v>
      </c>
      <c r="T29" s="15" t="str">
        <f>HYPERLINK("http://dx.doi.org/10.1007/s12273-025-1331-x","http://dx.doi.org/10.1007/s12273-025-1331-x")</f>
        <v>http://dx.doi.org/10.1007/s12273-025-1331-x</v>
      </c>
      <c r="U29" s="15" t="s">
        <v>2097</v>
      </c>
      <c r="V29" s="15" t="s">
        <v>2121</v>
      </c>
    </row>
    <row r="30" spans="1:22" x14ac:dyDescent="0.4">
      <c r="A30" s="15" t="s">
        <v>2122</v>
      </c>
      <c r="B30" s="15" t="s">
        <v>2123</v>
      </c>
      <c r="C30" s="15" t="s">
        <v>2124</v>
      </c>
      <c r="D30" s="15" t="s">
        <v>12</v>
      </c>
      <c r="E30" s="15" t="s">
        <v>262</v>
      </c>
      <c r="F30" s="15" t="s">
        <v>2125</v>
      </c>
      <c r="G30" s="15" t="s">
        <v>2126</v>
      </c>
      <c r="H30" s="15" t="s">
        <v>2127</v>
      </c>
      <c r="I30" s="15" t="s">
        <v>2128</v>
      </c>
      <c r="J30" s="15" t="s">
        <v>2129</v>
      </c>
      <c r="K30" s="15" t="s">
        <v>2130</v>
      </c>
      <c r="L30" s="15" t="s">
        <v>1631</v>
      </c>
      <c r="M30" s="15" t="s">
        <v>15</v>
      </c>
      <c r="N30" s="15">
        <v>2025</v>
      </c>
      <c r="O30" s="15">
        <v>18</v>
      </c>
      <c r="P30" s="15">
        <v>10</v>
      </c>
      <c r="Q30" s="15">
        <v>2657</v>
      </c>
      <c r="R30" s="15">
        <v>2676</v>
      </c>
      <c r="S30" s="15" t="s">
        <v>2131</v>
      </c>
      <c r="T30" s="15" t="str">
        <f>HYPERLINK("http://dx.doi.org/10.1007/s12273-025-1326-7","http://dx.doi.org/10.1007/s12273-025-1326-7")</f>
        <v>http://dx.doi.org/10.1007/s12273-025-1326-7</v>
      </c>
      <c r="U30" s="15" t="s">
        <v>2097</v>
      </c>
      <c r="V30" s="15" t="s">
        <v>2132</v>
      </c>
    </row>
    <row r="31" spans="1:22" x14ac:dyDescent="0.4">
      <c r="A31" s="15" t="s">
        <v>2133</v>
      </c>
      <c r="B31" s="15" t="s">
        <v>2134</v>
      </c>
      <c r="C31" s="15" t="s">
        <v>2135</v>
      </c>
      <c r="D31" s="15" t="s">
        <v>12</v>
      </c>
      <c r="E31" s="15" t="s">
        <v>262</v>
      </c>
      <c r="F31" s="15" t="s">
        <v>2136</v>
      </c>
      <c r="G31" s="15" t="s">
        <v>2137</v>
      </c>
      <c r="H31" s="15" t="s">
        <v>2138</v>
      </c>
      <c r="I31" s="15" t="s">
        <v>2139</v>
      </c>
      <c r="J31" s="15" t="s">
        <v>2140</v>
      </c>
      <c r="K31" s="15" t="s">
        <v>2141</v>
      </c>
      <c r="L31" s="15" t="s">
        <v>2142</v>
      </c>
      <c r="M31" s="15" t="s">
        <v>15</v>
      </c>
      <c r="N31" s="15">
        <v>2025</v>
      </c>
      <c r="O31" s="15">
        <v>18</v>
      </c>
      <c r="P31" s="15">
        <v>10</v>
      </c>
      <c r="Q31" s="15">
        <v>2625</v>
      </c>
      <c r="R31" s="15">
        <v>2641</v>
      </c>
      <c r="S31" s="15" t="s">
        <v>2143</v>
      </c>
      <c r="T31" s="15" t="str">
        <f>HYPERLINK("http://dx.doi.org/10.1007/s12273-025-1325-8","http://dx.doi.org/10.1007/s12273-025-1325-8")</f>
        <v>http://dx.doi.org/10.1007/s12273-025-1325-8</v>
      </c>
      <c r="U31" s="15" t="s">
        <v>2097</v>
      </c>
      <c r="V31" s="15" t="s">
        <v>2144</v>
      </c>
    </row>
    <row r="32" spans="1:22" x14ac:dyDescent="0.4">
      <c r="A32" s="15" t="s">
        <v>2145</v>
      </c>
      <c r="B32" s="15" t="s">
        <v>2146</v>
      </c>
      <c r="C32" s="15" t="s">
        <v>2147</v>
      </c>
      <c r="D32" s="15" t="s">
        <v>12</v>
      </c>
      <c r="E32" s="15" t="s">
        <v>262</v>
      </c>
      <c r="F32" s="15" t="s">
        <v>2148</v>
      </c>
      <c r="G32" s="15" t="s">
        <v>2149</v>
      </c>
      <c r="H32" s="15" t="s">
        <v>2150</v>
      </c>
      <c r="I32" s="15" t="s">
        <v>2151</v>
      </c>
      <c r="J32" s="15" t="s">
        <v>2152</v>
      </c>
      <c r="K32" s="15" t="s">
        <v>2153</v>
      </c>
      <c r="L32" s="15" t="s">
        <v>2154</v>
      </c>
      <c r="M32" s="15" t="s">
        <v>14</v>
      </c>
      <c r="N32" s="15">
        <v>2025</v>
      </c>
      <c r="O32" s="15">
        <v>18</v>
      </c>
      <c r="P32" s="15">
        <v>11</v>
      </c>
      <c r="Q32" s="15">
        <v>2945</v>
      </c>
      <c r="R32" s="15">
        <v>2962</v>
      </c>
      <c r="S32" s="15" t="s">
        <v>2155</v>
      </c>
      <c r="T32" s="15" t="str">
        <f>HYPERLINK("http://dx.doi.org/10.1007/s12273-025-1348-1","http://dx.doi.org/10.1007/s12273-025-1348-1")</f>
        <v>http://dx.doi.org/10.1007/s12273-025-1348-1</v>
      </c>
      <c r="U32" s="15" t="s">
        <v>2097</v>
      </c>
      <c r="V32" s="15" t="s">
        <v>2156</v>
      </c>
    </row>
    <row r="33" spans="1:22" x14ac:dyDescent="0.4">
      <c r="A33" s="15" t="s">
        <v>2157</v>
      </c>
      <c r="B33" s="15" t="s">
        <v>2158</v>
      </c>
      <c r="C33" s="15" t="s">
        <v>2159</v>
      </c>
      <c r="D33" s="15" t="s">
        <v>12</v>
      </c>
      <c r="E33" s="15" t="s">
        <v>262</v>
      </c>
      <c r="F33" s="15" t="s">
        <v>2160</v>
      </c>
      <c r="G33" s="15" t="s">
        <v>2161</v>
      </c>
      <c r="H33" s="15" t="s">
        <v>2162</v>
      </c>
      <c r="I33" s="15" t="s">
        <v>2163</v>
      </c>
      <c r="J33" s="15" t="s">
        <v>2164</v>
      </c>
      <c r="K33" s="15" t="s">
        <v>2165</v>
      </c>
      <c r="L33" s="15" t="s">
        <v>2166</v>
      </c>
      <c r="M33" s="15" t="s">
        <v>16</v>
      </c>
      <c r="N33" s="15">
        <v>2025</v>
      </c>
      <c r="O33" s="15">
        <v>18</v>
      </c>
      <c r="P33" s="15">
        <v>9</v>
      </c>
      <c r="Q33" s="15">
        <v>2515</v>
      </c>
      <c r="R33" s="15">
        <v>2530</v>
      </c>
      <c r="S33" s="15" t="s">
        <v>2167</v>
      </c>
      <c r="T33" s="15" t="str">
        <f>HYPERLINK("http://dx.doi.org/10.1007/s12273-025-1349-0","http://dx.doi.org/10.1007/s12273-025-1349-0")</f>
        <v>http://dx.doi.org/10.1007/s12273-025-1349-0</v>
      </c>
      <c r="U33" s="15" t="s">
        <v>2097</v>
      </c>
      <c r="V33" s="15" t="s">
        <v>2168</v>
      </c>
    </row>
    <row r="34" spans="1:22" x14ac:dyDescent="0.4">
      <c r="A34" s="15" t="s">
        <v>2169</v>
      </c>
      <c r="B34" s="15" t="s">
        <v>2170</v>
      </c>
      <c r="C34" s="15" t="s">
        <v>2171</v>
      </c>
      <c r="D34" s="15" t="s">
        <v>12</v>
      </c>
      <c r="E34" s="15" t="s">
        <v>262</v>
      </c>
      <c r="F34" s="15" t="s">
        <v>2172</v>
      </c>
      <c r="G34" s="15" t="s">
        <v>2173</v>
      </c>
      <c r="H34" s="15" t="s">
        <v>2174</v>
      </c>
      <c r="I34" s="15" t="s">
        <v>2175</v>
      </c>
      <c r="J34" s="15" t="s">
        <v>2176</v>
      </c>
      <c r="K34" s="15" t="s">
        <v>2177</v>
      </c>
      <c r="L34" s="15" t="s">
        <v>2178</v>
      </c>
      <c r="M34" s="15" t="s">
        <v>15</v>
      </c>
      <c r="N34" s="15">
        <v>2025</v>
      </c>
      <c r="O34" s="15">
        <v>18</v>
      </c>
      <c r="P34" s="15">
        <v>10</v>
      </c>
      <c r="Q34" s="15">
        <v>2807</v>
      </c>
      <c r="R34" s="15">
        <v>2824</v>
      </c>
      <c r="S34" s="15" t="s">
        <v>2179</v>
      </c>
      <c r="T34" s="15" t="str">
        <f>HYPERLINK("http://dx.doi.org/10.1007/s12273-025-1340-9","http://dx.doi.org/10.1007/s12273-025-1340-9")</f>
        <v>http://dx.doi.org/10.1007/s12273-025-1340-9</v>
      </c>
      <c r="U34" s="15" t="s">
        <v>2097</v>
      </c>
      <c r="V34" s="15" t="s">
        <v>2180</v>
      </c>
    </row>
    <row r="35" spans="1:22" x14ac:dyDescent="0.4">
      <c r="A35" s="15" t="s">
        <v>2181</v>
      </c>
      <c r="B35" s="15" t="s">
        <v>2182</v>
      </c>
      <c r="C35" s="15" t="s">
        <v>2183</v>
      </c>
      <c r="D35" s="15" t="s">
        <v>12</v>
      </c>
      <c r="E35" s="15" t="s">
        <v>262</v>
      </c>
      <c r="F35" s="15" t="s">
        <v>2184</v>
      </c>
      <c r="G35" s="15" t="s">
        <v>2185</v>
      </c>
      <c r="H35" s="15" t="s">
        <v>2186</v>
      </c>
      <c r="I35" s="15" t="s">
        <v>2187</v>
      </c>
      <c r="J35" s="15" t="s">
        <v>2188</v>
      </c>
      <c r="K35" s="15" t="s">
        <v>2189</v>
      </c>
      <c r="L35" s="15" t="s">
        <v>2190</v>
      </c>
      <c r="M35" s="15" t="s">
        <v>15</v>
      </c>
      <c r="N35" s="15">
        <v>2025</v>
      </c>
      <c r="O35" s="15">
        <v>18</v>
      </c>
      <c r="P35" s="15">
        <v>10</v>
      </c>
      <c r="Q35" s="15">
        <v>2723</v>
      </c>
      <c r="R35" s="15">
        <v>2739</v>
      </c>
      <c r="S35" s="15" t="s">
        <v>2191</v>
      </c>
      <c r="T35" s="15" t="str">
        <f>HYPERLINK("http://dx.doi.org/10.1007/s12273-025-1347-2","http://dx.doi.org/10.1007/s12273-025-1347-2")</f>
        <v>http://dx.doi.org/10.1007/s12273-025-1347-2</v>
      </c>
      <c r="U35" s="15" t="s">
        <v>2097</v>
      </c>
      <c r="V35" s="15" t="s">
        <v>2192</v>
      </c>
    </row>
    <row r="36" spans="1:22" x14ac:dyDescent="0.4">
      <c r="A36" s="15" t="s">
        <v>2193</v>
      </c>
      <c r="B36" s="15" t="s">
        <v>2194</v>
      </c>
      <c r="C36" s="15" t="s">
        <v>2195</v>
      </c>
      <c r="D36" s="15" t="s">
        <v>12</v>
      </c>
      <c r="E36" s="15" t="s">
        <v>262</v>
      </c>
      <c r="F36" s="15" t="s">
        <v>2196</v>
      </c>
      <c r="G36" s="15" t="s">
        <v>2197</v>
      </c>
      <c r="H36" s="15" t="s">
        <v>2198</v>
      </c>
      <c r="I36" s="15" t="s">
        <v>2199</v>
      </c>
      <c r="J36" s="15" t="s">
        <v>291</v>
      </c>
      <c r="K36" s="15" t="s">
        <v>2200</v>
      </c>
      <c r="L36" s="15" t="s">
        <v>2201</v>
      </c>
      <c r="M36" s="15" t="s">
        <v>15</v>
      </c>
      <c r="N36" s="15">
        <v>2025</v>
      </c>
      <c r="O36" s="15">
        <v>18</v>
      </c>
      <c r="P36" s="15">
        <v>10</v>
      </c>
      <c r="Q36" s="15">
        <v>2643</v>
      </c>
      <c r="R36" s="15">
        <v>2655</v>
      </c>
      <c r="S36" s="15" t="s">
        <v>2202</v>
      </c>
      <c r="T36" s="15" t="str">
        <f>HYPERLINK("http://dx.doi.org/10.1007/s12273-025-1339-2","http://dx.doi.org/10.1007/s12273-025-1339-2")</f>
        <v>http://dx.doi.org/10.1007/s12273-025-1339-2</v>
      </c>
      <c r="U36" s="15" t="s">
        <v>2097</v>
      </c>
      <c r="V36" s="15" t="s">
        <v>2203</v>
      </c>
    </row>
    <row r="37" spans="1:22" x14ac:dyDescent="0.4">
      <c r="A37" s="15" t="s">
        <v>2204</v>
      </c>
      <c r="B37" s="15" t="s">
        <v>2205</v>
      </c>
      <c r="C37" s="15" t="s">
        <v>2206</v>
      </c>
      <c r="D37" s="15" t="s">
        <v>12</v>
      </c>
      <c r="E37" s="15" t="s">
        <v>262</v>
      </c>
      <c r="F37" s="15" t="s">
        <v>2207</v>
      </c>
      <c r="G37" s="15" t="s">
        <v>2208</v>
      </c>
      <c r="H37" s="15" t="s">
        <v>2209</v>
      </c>
      <c r="I37" s="15" t="s">
        <v>2210</v>
      </c>
      <c r="J37" s="15" t="s">
        <v>2211</v>
      </c>
      <c r="K37" s="15" t="s">
        <v>2212</v>
      </c>
      <c r="L37" s="15" t="s">
        <v>2213</v>
      </c>
      <c r="M37" s="15" t="s">
        <v>15</v>
      </c>
      <c r="N37" s="15">
        <v>2025</v>
      </c>
      <c r="O37" s="15">
        <v>18</v>
      </c>
      <c r="P37" s="15">
        <v>10</v>
      </c>
      <c r="Q37" s="15">
        <v>2677</v>
      </c>
      <c r="R37" s="15">
        <v>2695</v>
      </c>
      <c r="S37" s="15" t="s">
        <v>2214</v>
      </c>
      <c r="T37" s="15" t="str">
        <f>HYPERLINK("http://dx.doi.org/10.1007/s12273-025-1338-3","http://dx.doi.org/10.1007/s12273-025-1338-3")</f>
        <v>http://dx.doi.org/10.1007/s12273-025-1338-3</v>
      </c>
      <c r="U37" s="15" t="s">
        <v>2097</v>
      </c>
      <c r="V37" s="15" t="s">
        <v>2215</v>
      </c>
    </row>
    <row r="38" spans="1:22" x14ac:dyDescent="0.4">
      <c r="A38" s="15" t="s">
        <v>2216</v>
      </c>
      <c r="B38" s="15" t="s">
        <v>2217</v>
      </c>
      <c r="C38" s="15" t="s">
        <v>2218</v>
      </c>
      <c r="D38" s="15" t="s">
        <v>12</v>
      </c>
      <c r="E38" s="15" t="s">
        <v>262</v>
      </c>
      <c r="F38" s="15" t="s">
        <v>2219</v>
      </c>
      <c r="G38" s="15" t="s">
        <v>2220</v>
      </c>
      <c r="H38" s="15" t="s">
        <v>2221</v>
      </c>
      <c r="I38" s="15" t="s">
        <v>2222</v>
      </c>
      <c r="J38" s="15" t="s">
        <v>2223</v>
      </c>
      <c r="K38" s="15" t="s">
        <v>2224</v>
      </c>
      <c r="L38" s="15" t="s">
        <v>2225</v>
      </c>
      <c r="M38" s="15" t="s">
        <v>15</v>
      </c>
      <c r="N38" s="15">
        <v>2025</v>
      </c>
      <c r="O38" s="15">
        <v>18</v>
      </c>
      <c r="P38" s="15">
        <v>10</v>
      </c>
      <c r="Q38" s="15">
        <v>2531</v>
      </c>
      <c r="R38" s="15">
        <v>2558</v>
      </c>
      <c r="S38" s="15" t="s">
        <v>2226</v>
      </c>
      <c r="T38" s="15" t="str">
        <f>HYPERLINK("http://dx.doi.org/10.1007/s12273-025-1332-9","http://dx.doi.org/10.1007/s12273-025-1332-9")</f>
        <v>http://dx.doi.org/10.1007/s12273-025-1332-9</v>
      </c>
      <c r="U38" s="15" t="s">
        <v>2097</v>
      </c>
      <c r="V38" s="15" t="s">
        <v>2227</v>
      </c>
    </row>
    <row r="39" spans="1:22" x14ac:dyDescent="0.4">
      <c r="A39" s="15" t="s">
        <v>2228</v>
      </c>
      <c r="B39" s="15" t="s">
        <v>2229</v>
      </c>
      <c r="C39" s="15" t="s">
        <v>2230</v>
      </c>
      <c r="D39" s="15" t="s">
        <v>12</v>
      </c>
      <c r="E39" s="15" t="s">
        <v>262</v>
      </c>
      <c r="F39" s="15" t="s">
        <v>2231</v>
      </c>
      <c r="G39" s="15" t="s">
        <v>2232</v>
      </c>
      <c r="H39" s="15" t="s">
        <v>2233</v>
      </c>
      <c r="I39" s="15" t="s">
        <v>2234</v>
      </c>
      <c r="J39" s="15" t="s">
        <v>2235</v>
      </c>
      <c r="K39" s="15" t="s">
        <v>2236</v>
      </c>
      <c r="L39" s="15" t="s">
        <v>2237</v>
      </c>
      <c r="M39" s="15" t="s">
        <v>14</v>
      </c>
      <c r="N39" s="15">
        <v>2025</v>
      </c>
      <c r="O39" s="15">
        <v>18</v>
      </c>
      <c r="P39" s="15">
        <v>11</v>
      </c>
      <c r="Q39" s="15">
        <v>2849</v>
      </c>
      <c r="R39" s="15">
        <v>2874</v>
      </c>
      <c r="S39" s="15" t="s">
        <v>2238</v>
      </c>
      <c r="T39" s="15" t="str">
        <f>HYPERLINK("http://dx.doi.org/10.1007/s12273-025-1335-6","http://dx.doi.org/10.1007/s12273-025-1335-6")</f>
        <v>http://dx.doi.org/10.1007/s12273-025-1335-6</v>
      </c>
      <c r="U39" s="15" t="s">
        <v>2097</v>
      </c>
      <c r="V39" s="15" t="s">
        <v>2239</v>
      </c>
    </row>
    <row r="40" spans="1:22" x14ac:dyDescent="0.4">
      <c r="A40" s="15" t="s">
        <v>2240</v>
      </c>
      <c r="B40" s="15" t="s">
        <v>2241</v>
      </c>
      <c r="C40" s="15" t="s">
        <v>2242</v>
      </c>
      <c r="D40" s="15" t="s">
        <v>12</v>
      </c>
      <c r="E40" s="15" t="s">
        <v>262</v>
      </c>
      <c r="F40" s="15" t="s">
        <v>2243</v>
      </c>
      <c r="G40" s="15" t="s">
        <v>2244</v>
      </c>
      <c r="H40" s="15" t="s">
        <v>2245</v>
      </c>
      <c r="I40" s="15" t="s">
        <v>2246</v>
      </c>
      <c r="J40" s="15" t="s">
        <v>2247</v>
      </c>
      <c r="K40" s="15" t="s">
        <v>2248</v>
      </c>
      <c r="L40" s="15" t="s">
        <v>2249</v>
      </c>
      <c r="M40" s="15" t="s">
        <v>16</v>
      </c>
      <c r="N40" s="15">
        <v>2025</v>
      </c>
      <c r="O40" s="15">
        <v>18</v>
      </c>
      <c r="P40" s="15">
        <v>9</v>
      </c>
      <c r="Q40" s="15">
        <v>2323</v>
      </c>
      <c r="R40" s="15">
        <v>2344</v>
      </c>
      <c r="S40" s="15" t="s">
        <v>2250</v>
      </c>
      <c r="T40" s="15" t="str">
        <f>HYPERLINK("http://dx.doi.org/10.1007/s12273-025-1322-y","http://dx.doi.org/10.1007/s12273-025-1322-y")</f>
        <v>http://dx.doi.org/10.1007/s12273-025-1322-y</v>
      </c>
      <c r="U40" s="15" t="s">
        <v>2251</v>
      </c>
      <c r="V40" s="15" t="s">
        <v>2252</v>
      </c>
    </row>
    <row r="41" spans="1:22" x14ac:dyDescent="0.4">
      <c r="A41" s="15" t="s">
        <v>2253</v>
      </c>
      <c r="B41" s="15" t="s">
        <v>2254</v>
      </c>
      <c r="C41" s="15" t="s">
        <v>2255</v>
      </c>
      <c r="D41" s="15" t="s">
        <v>12</v>
      </c>
      <c r="E41" s="15" t="s">
        <v>262</v>
      </c>
      <c r="F41" s="15" t="s">
        <v>2256</v>
      </c>
      <c r="G41" s="15" t="s">
        <v>2257</v>
      </c>
      <c r="H41" s="15" t="s">
        <v>2258</v>
      </c>
      <c r="I41" s="15" t="s">
        <v>2259</v>
      </c>
      <c r="J41" s="15" t="s">
        <v>2260</v>
      </c>
      <c r="K41" s="15" t="s">
        <v>2261</v>
      </c>
      <c r="L41" s="15" t="s">
        <v>2262</v>
      </c>
      <c r="M41" s="15" t="s">
        <v>15</v>
      </c>
      <c r="N41" s="15">
        <v>2025</v>
      </c>
      <c r="O41" s="15">
        <v>18</v>
      </c>
      <c r="P41" s="15">
        <v>10</v>
      </c>
      <c r="Q41" s="15">
        <v>2577</v>
      </c>
      <c r="R41" s="15">
        <v>2600</v>
      </c>
      <c r="S41" s="15" t="s">
        <v>2263</v>
      </c>
      <c r="T41" s="15" t="str">
        <f>HYPERLINK("http://dx.doi.org/10.1007/s12273-025-1333-8","http://dx.doi.org/10.1007/s12273-025-1333-8")</f>
        <v>http://dx.doi.org/10.1007/s12273-025-1333-8</v>
      </c>
      <c r="U41" s="15" t="s">
        <v>2251</v>
      </c>
      <c r="V41" s="15" t="s">
        <v>2264</v>
      </c>
    </row>
    <row r="42" spans="1:22" x14ac:dyDescent="0.4">
      <c r="A42" s="15" t="s">
        <v>2265</v>
      </c>
      <c r="B42" s="15" t="s">
        <v>2266</v>
      </c>
      <c r="C42" s="15" t="s">
        <v>2267</v>
      </c>
      <c r="D42" s="15" t="s">
        <v>12</v>
      </c>
      <c r="E42" s="15" t="s">
        <v>262</v>
      </c>
      <c r="F42" s="15" t="s">
        <v>2268</v>
      </c>
      <c r="G42" s="15" t="s">
        <v>2269</v>
      </c>
      <c r="H42" s="15" t="s">
        <v>2270</v>
      </c>
      <c r="I42" s="15" t="s">
        <v>2271</v>
      </c>
      <c r="J42" s="15" t="s">
        <v>2272</v>
      </c>
      <c r="K42" s="15" t="s">
        <v>2273</v>
      </c>
      <c r="L42" s="15" t="s">
        <v>2274</v>
      </c>
      <c r="M42" s="15" t="s">
        <v>16</v>
      </c>
      <c r="N42" s="15">
        <v>2025</v>
      </c>
      <c r="O42" s="15">
        <v>18</v>
      </c>
      <c r="P42" s="15">
        <v>9</v>
      </c>
      <c r="Q42" s="15">
        <v>2405</v>
      </c>
      <c r="R42" s="15">
        <v>2416</v>
      </c>
      <c r="S42" s="15" t="s">
        <v>2275</v>
      </c>
      <c r="T42" s="15" t="str">
        <f>HYPERLINK("http://dx.doi.org/10.1007/s12273-025-1330-y","http://dx.doi.org/10.1007/s12273-025-1330-y")</f>
        <v>http://dx.doi.org/10.1007/s12273-025-1330-y</v>
      </c>
      <c r="U42" s="15" t="s">
        <v>2251</v>
      </c>
      <c r="V42" s="15" t="s">
        <v>2276</v>
      </c>
    </row>
    <row r="43" spans="1:22" x14ac:dyDescent="0.4">
      <c r="A43" s="15" t="s">
        <v>2277</v>
      </c>
      <c r="B43" s="15" t="s">
        <v>2278</v>
      </c>
      <c r="C43" s="15" t="s">
        <v>2279</v>
      </c>
      <c r="D43" s="15" t="s">
        <v>12</v>
      </c>
      <c r="E43" s="15" t="s">
        <v>262</v>
      </c>
      <c r="F43" s="15" t="s">
        <v>2280</v>
      </c>
      <c r="G43" s="15" t="s">
        <v>2281</v>
      </c>
      <c r="H43" s="15" t="s">
        <v>2282</v>
      </c>
      <c r="I43" s="15" t="s">
        <v>2283</v>
      </c>
      <c r="J43" s="15" t="s">
        <v>2284</v>
      </c>
      <c r="K43" s="15" t="s">
        <v>2285</v>
      </c>
      <c r="L43" s="15" t="s">
        <v>2286</v>
      </c>
      <c r="M43" s="15" t="s">
        <v>14</v>
      </c>
      <c r="N43" s="15">
        <v>2025</v>
      </c>
      <c r="O43" s="15">
        <v>18</v>
      </c>
      <c r="P43" s="15">
        <v>11</v>
      </c>
      <c r="Q43" s="15">
        <v>3011</v>
      </c>
      <c r="R43" s="15">
        <v>3030</v>
      </c>
      <c r="S43" s="15" t="s">
        <v>2287</v>
      </c>
      <c r="T43" s="15" t="str">
        <f>HYPERLINK("http://dx.doi.org/10.1007/s12273-025-1354-3","http://dx.doi.org/10.1007/s12273-025-1354-3")</f>
        <v>http://dx.doi.org/10.1007/s12273-025-1354-3</v>
      </c>
      <c r="U43" s="15" t="s">
        <v>2251</v>
      </c>
      <c r="V43" s="15" t="s">
        <v>2288</v>
      </c>
    </row>
    <row r="44" spans="1:22" x14ac:dyDescent="0.4">
      <c r="A44" s="15" t="s">
        <v>2289</v>
      </c>
      <c r="B44" s="15" t="s">
        <v>2290</v>
      </c>
      <c r="C44" s="15" t="s">
        <v>2291</v>
      </c>
      <c r="D44" s="15" t="s">
        <v>12</v>
      </c>
      <c r="E44" s="15" t="s">
        <v>262</v>
      </c>
      <c r="F44" s="15" t="s">
        <v>2292</v>
      </c>
      <c r="G44" s="15" t="s">
        <v>2293</v>
      </c>
      <c r="H44" s="15" t="s">
        <v>2294</v>
      </c>
      <c r="I44" s="15" t="s">
        <v>2295</v>
      </c>
      <c r="J44" s="15" t="s">
        <v>2296</v>
      </c>
      <c r="K44" s="15" t="s">
        <v>2297</v>
      </c>
      <c r="L44" s="15" t="s">
        <v>2298</v>
      </c>
      <c r="M44" s="15" t="s">
        <v>16</v>
      </c>
      <c r="N44" s="15">
        <v>2025</v>
      </c>
      <c r="O44" s="15">
        <v>18</v>
      </c>
      <c r="P44" s="15">
        <v>9</v>
      </c>
      <c r="Q44" s="15">
        <v>2459</v>
      </c>
      <c r="R44" s="15">
        <v>2473</v>
      </c>
      <c r="S44" s="15" t="s">
        <v>2299</v>
      </c>
      <c r="T44" s="15" t="str">
        <f>HYPERLINK("http://dx.doi.org/10.1007/s12273-025-1321-z","http://dx.doi.org/10.1007/s12273-025-1321-z")</f>
        <v>http://dx.doi.org/10.1007/s12273-025-1321-z</v>
      </c>
      <c r="U44" s="15" t="s">
        <v>2251</v>
      </c>
      <c r="V44" s="15" t="s">
        <v>2300</v>
      </c>
    </row>
    <row r="45" spans="1:22" x14ac:dyDescent="0.4">
      <c r="A45" s="15" t="s">
        <v>2301</v>
      </c>
      <c r="B45" s="15" t="s">
        <v>2302</v>
      </c>
      <c r="C45" s="15" t="s">
        <v>2303</v>
      </c>
      <c r="D45" s="15" t="s">
        <v>12</v>
      </c>
      <c r="E45" s="15" t="s">
        <v>262</v>
      </c>
      <c r="F45" s="15" t="s">
        <v>2304</v>
      </c>
      <c r="G45" s="15" t="s">
        <v>2305</v>
      </c>
      <c r="H45" s="15" t="s">
        <v>2306</v>
      </c>
      <c r="I45" s="15" t="s">
        <v>2307</v>
      </c>
      <c r="J45" s="15" t="s">
        <v>2308</v>
      </c>
      <c r="K45" s="15" t="s">
        <v>2309</v>
      </c>
      <c r="L45" s="15" t="s">
        <v>2310</v>
      </c>
      <c r="M45" s="15" t="s">
        <v>16</v>
      </c>
      <c r="N45" s="15">
        <v>2025</v>
      </c>
      <c r="O45" s="15">
        <v>18</v>
      </c>
      <c r="P45" s="15">
        <v>9</v>
      </c>
      <c r="Q45" s="15">
        <v>2365</v>
      </c>
      <c r="R45" s="15">
        <v>2380</v>
      </c>
      <c r="S45" s="15" t="s">
        <v>2311</v>
      </c>
      <c r="T45" s="15" t="str">
        <f>HYPERLINK("http://dx.doi.org/10.1007/s12273-025-1328-5","http://dx.doi.org/10.1007/s12273-025-1328-5")</f>
        <v>http://dx.doi.org/10.1007/s12273-025-1328-5</v>
      </c>
      <c r="U45" s="15" t="s">
        <v>2251</v>
      </c>
      <c r="V45" s="15" t="s">
        <v>2312</v>
      </c>
    </row>
    <row r="46" spans="1:22" x14ac:dyDescent="0.4">
      <c r="A46" s="15" t="s">
        <v>2313</v>
      </c>
      <c r="B46" s="15" t="s">
        <v>2314</v>
      </c>
      <c r="C46" s="15" t="s">
        <v>2315</v>
      </c>
      <c r="D46" s="15" t="s">
        <v>12</v>
      </c>
      <c r="E46" s="15" t="s">
        <v>262</v>
      </c>
      <c r="F46" s="15" t="s">
        <v>2316</v>
      </c>
      <c r="G46" s="15" t="s">
        <v>2317</v>
      </c>
      <c r="H46" s="15" t="s">
        <v>2318</v>
      </c>
      <c r="I46" s="15" t="s">
        <v>2319</v>
      </c>
      <c r="J46" s="15" t="s">
        <v>2320</v>
      </c>
      <c r="K46" s="15" t="s">
        <v>2321</v>
      </c>
      <c r="L46" s="15" t="s">
        <v>2322</v>
      </c>
      <c r="M46" s="15" t="s">
        <v>16</v>
      </c>
      <c r="N46" s="15">
        <v>2025</v>
      </c>
      <c r="O46" s="15">
        <v>18</v>
      </c>
      <c r="P46" s="15">
        <v>9</v>
      </c>
      <c r="Q46" s="15">
        <v>2491</v>
      </c>
      <c r="R46" s="15">
        <v>2514</v>
      </c>
      <c r="S46" s="15" t="s">
        <v>2323</v>
      </c>
      <c r="T46" s="15" t="str">
        <f>HYPERLINK("http://dx.doi.org/10.1007/s12273-025-1323-x","http://dx.doi.org/10.1007/s12273-025-1323-x")</f>
        <v>http://dx.doi.org/10.1007/s12273-025-1323-x</v>
      </c>
      <c r="U46" s="15" t="s">
        <v>2251</v>
      </c>
      <c r="V46" s="15" t="s">
        <v>2324</v>
      </c>
    </row>
    <row r="47" spans="1:22" x14ac:dyDescent="0.4">
      <c r="A47" s="15" t="s">
        <v>2325</v>
      </c>
      <c r="B47" s="15" t="s">
        <v>2326</v>
      </c>
      <c r="C47" s="15" t="s">
        <v>2327</v>
      </c>
      <c r="D47" s="15" t="s">
        <v>12</v>
      </c>
      <c r="E47" s="15" t="s">
        <v>262</v>
      </c>
      <c r="F47" s="15" t="s">
        <v>2328</v>
      </c>
      <c r="G47" s="15" t="s">
        <v>2329</v>
      </c>
      <c r="H47" s="15" t="s">
        <v>2330</v>
      </c>
      <c r="I47" s="15" t="s">
        <v>2331</v>
      </c>
      <c r="J47" s="15" t="s">
        <v>392</v>
      </c>
      <c r="K47" s="15" t="s">
        <v>2332</v>
      </c>
      <c r="L47" s="15" t="s">
        <v>2333</v>
      </c>
      <c r="M47" s="15" t="s">
        <v>15</v>
      </c>
      <c r="N47" s="15">
        <v>2025</v>
      </c>
      <c r="O47" s="15">
        <v>18</v>
      </c>
      <c r="P47" s="15">
        <v>10</v>
      </c>
      <c r="Q47" s="15">
        <v>2777</v>
      </c>
      <c r="R47" s="15">
        <v>2805</v>
      </c>
      <c r="S47" s="15" t="s">
        <v>2334</v>
      </c>
      <c r="T47" s="15" t="str">
        <f>HYPERLINK("http://dx.doi.org/10.1007/s12273-025-1337-4","http://dx.doi.org/10.1007/s12273-025-1337-4")</f>
        <v>http://dx.doi.org/10.1007/s12273-025-1337-4</v>
      </c>
      <c r="U47" s="15" t="s">
        <v>2251</v>
      </c>
      <c r="V47" s="15" t="s">
        <v>2335</v>
      </c>
    </row>
    <row r="48" spans="1:22" x14ac:dyDescent="0.4">
      <c r="A48" s="15" t="s">
        <v>2336</v>
      </c>
      <c r="B48" s="15" t="s">
        <v>2337</v>
      </c>
      <c r="C48" s="15" t="s">
        <v>2338</v>
      </c>
      <c r="D48" s="15" t="s">
        <v>12</v>
      </c>
      <c r="E48" s="15" t="s">
        <v>262</v>
      </c>
      <c r="F48" s="15" t="s">
        <v>2339</v>
      </c>
      <c r="G48" s="15" t="s">
        <v>2340</v>
      </c>
      <c r="H48" s="15" t="s">
        <v>2341</v>
      </c>
      <c r="I48" s="15" t="s">
        <v>2342</v>
      </c>
      <c r="J48" s="15" t="s">
        <v>2343</v>
      </c>
      <c r="K48" s="15" t="s">
        <v>2344</v>
      </c>
      <c r="L48" s="15" t="s">
        <v>2345</v>
      </c>
      <c r="M48" s="15" t="s">
        <v>16</v>
      </c>
      <c r="N48" s="15">
        <v>2025</v>
      </c>
      <c r="O48" s="15">
        <v>18</v>
      </c>
      <c r="P48" s="15">
        <v>9</v>
      </c>
      <c r="Q48" s="15">
        <v>2417</v>
      </c>
      <c r="R48" s="15">
        <v>2433</v>
      </c>
      <c r="S48" s="15" t="s">
        <v>2346</v>
      </c>
      <c r="T48" s="15" t="str">
        <f>HYPERLINK("http://dx.doi.org/10.1007/s12273-025-1310-2","http://dx.doi.org/10.1007/s12273-025-1310-2")</f>
        <v>http://dx.doi.org/10.1007/s12273-025-1310-2</v>
      </c>
      <c r="U48" s="15" t="s">
        <v>2251</v>
      </c>
      <c r="V48" s="15" t="s">
        <v>2347</v>
      </c>
    </row>
    <row r="49" spans="1:22" x14ac:dyDescent="0.4">
      <c r="A49" s="15" t="s">
        <v>2348</v>
      </c>
      <c r="B49" s="15" t="s">
        <v>2349</v>
      </c>
      <c r="C49" s="15" t="s">
        <v>2350</v>
      </c>
      <c r="D49" s="15" t="s">
        <v>12</v>
      </c>
      <c r="E49" s="15" t="s">
        <v>262</v>
      </c>
      <c r="F49" s="15" t="s">
        <v>2351</v>
      </c>
      <c r="G49" s="15" t="s">
        <v>2352</v>
      </c>
      <c r="H49" s="15" t="s">
        <v>2353</v>
      </c>
      <c r="I49" s="15" t="s">
        <v>2354</v>
      </c>
      <c r="J49" s="15" t="s">
        <v>2355</v>
      </c>
      <c r="K49" s="15" t="s">
        <v>2356</v>
      </c>
      <c r="L49" s="15" t="s">
        <v>2357</v>
      </c>
      <c r="M49" s="15" t="s">
        <v>19</v>
      </c>
      <c r="N49" s="15">
        <v>2025</v>
      </c>
      <c r="O49" s="15">
        <v>18</v>
      </c>
      <c r="P49" s="15">
        <v>8</v>
      </c>
      <c r="Q49" s="15">
        <v>2151</v>
      </c>
      <c r="R49" s="15">
        <v>2174</v>
      </c>
      <c r="S49" s="15" t="s">
        <v>2358</v>
      </c>
      <c r="T49" s="15" t="str">
        <f>HYPERLINK("http://dx.doi.org/10.1007/s12273-025-1298-7","http://dx.doi.org/10.1007/s12273-025-1298-7")</f>
        <v>http://dx.doi.org/10.1007/s12273-025-1298-7</v>
      </c>
      <c r="U49" s="15" t="s">
        <v>2251</v>
      </c>
      <c r="V49" s="15" t="s">
        <v>2359</v>
      </c>
    </row>
    <row r="50" spans="1:22" x14ac:dyDescent="0.4">
      <c r="A50" s="15" t="s">
        <v>2360</v>
      </c>
      <c r="B50" s="15" t="s">
        <v>2361</v>
      </c>
      <c r="C50" s="15" t="s">
        <v>2362</v>
      </c>
      <c r="D50" s="15" t="s">
        <v>12</v>
      </c>
      <c r="E50" s="15" t="s">
        <v>262</v>
      </c>
      <c r="F50" s="15" t="s">
        <v>2363</v>
      </c>
      <c r="G50" s="15" t="s">
        <v>2364</v>
      </c>
      <c r="H50" s="15" t="s">
        <v>2365</v>
      </c>
      <c r="I50" s="15" t="s">
        <v>2366</v>
      </c>
      <c r="J50" s="15" t="s">
        <v>1306</v>
      </c>
      <c r="K50" s="15" t="s">
        <v>2367</v>
      </c>
      <c r="L50" s="15" t="s">
        <v>2368</v>
      </c>
      <c r="M50" s="15" t="s">
        <v>19</v>
      </c>
      <c r="N50" s="15">
        <v>2025</v>
      </c>
      <c r="O50" s="15">
        <v>18</v>
      </c>
      <c r="P50" s="15">
        <v>8</v>
      </c>
      <c r="Q50" s="15">
        <v>2135</v>
      </c>
      <c r="R50" s="15">
        <v>2150</v>
      </c>
      <c r="S50" s="15" t="s">
        <v>2369</v>
      </c>
      <c r="T50" s="15" t="str">
        <f>HYPERLINK("http://dx.doi.org/10.1007/s12273-025-1296-9","http://dx.doi.org/10.1007/s12273-025-1296-9")</f>
        <v>http://dx.doi.org/10.1007/s12273-025-1296-9</v>
      </c>
      <c r="U50" s="15" t="s">
        <v>2251</v>
      </c>
      <c r="V50" s="15" t="s">
        <v>2370</v>
      </c>
    </row>
    <row r="51" spans="1:22" x14ac:dyDescent="0.4">
      <c r="A51" s="15" t="s">
        <v>2371</v>
      </c>
      <c r="B51" s="15" t="s">
        <v>2372</v>
      </c>
      <c r="C51" s="15" t="s">
        <v>2373</v>
      </c>
      <c r="D51" s="15" t="s">
        <v>12</v>
      </c>
      <c r="E51" s="15" t="s">
        <v>262</v>
      </c>
      <c r="F51" s="15" t="s">
        <v>2374</v>
      </c>
      <c r="G51" s="15" t="s">
        <v>2375</v>
      </c>
      <c r="H51" s="15" t="s">
        <v>2376</v>
      </c>
      <c r="I51" s="15" t="s">
        <v>2377</v>
      </c>
      <c r="J51" s="15" t="s">
        <v>2378</v>
      </c>
      <c r="K51" s="15" t="s">
        <v>2379</v>
      </c>
      <c r="L51" s="15" t="s">
        <v>2380</v>
      </c>
      <c r="M51" s="15" t="s">
        <v>19</v>
      </c>
      <c r="N51" s="15">
        <v>2025</v>
      </c>
      <c r="O51" s="15">
        <v>18</v>
      </c>
      <c r="P51" s="15">
        <v>8</v>
      </c>
      <c r="Q51" s="15">
        <v>1909</v>
      </c>
      <c r="R51" s="15">
        <v>1927</v>
      </c>
      <c r="S51" s="15" t="s">
        <v>2381</v>
      </c>
      <c r="T51" s="15" t="str">
        <f>HYPERLINK("http://dx.doi.org/10.1007/s12273-025-1306-y","http://dx.doi.org/10.1007/s12273-025-1306-y")</f>
        <v>http://dx.doi.org/10.1007/s12273-025-1306-y</v>
      </c>
      <c r="U51" s="15" t="s">
        <v>2251</v>
      </c>
      <c r="V51" s="15" t="s">
        <v>2382</v>
      </c>
    </row>
    <row r="52" spans="1:22" x14ac:dyDescent="0.4">
      <c r="A52" s="15" t="s">
        <v>2383</v>
      </c>
      <c r="B52" s="15" t="s">
        <v>2384</v>
      </c>
      <c r="C52" s="15" t="s">
        <v>2385</v>
      </c>
      <c r="D52" s="15" t="s">
        <v>12</v>
      </c>
      <c r="E52" s="15" t="s">
        <v>262</v>
      </c>
      <c r="F52" s="15" t="s">
        <v>2386</v>
      </c>
      <c r="G52" s="15" t="s">
        <v>2387</v>
      </c>
      <c r="H52" s="15" t="s">
        <v>2388</v>
      </c>
      <c r="I52" s="15" t="s">
        <v>2389</v>
      </c>
      <c r="J52" s="15" t="s">
        <v>2390</v>
      </c>
      <c r="K52" s="15" t="s">
        <v>2391</v>
      </c>
      <c r="L52" s="15" t="s">
        <v>2392</v>
      </c>
      <c r="M52" s="15" t="s">
        <v>16</v>
      </c>
      <c r="N52" s="15">
        <v>2025</v>
      </c>
      <c r="O52" s="15">
        <v>18</v>
      </c>
      <c r="P52" s="15">
        <v>9</v>
      </c>
      <c r="Q52" s="15">
        <v>2345</v>
      </c>
      <c r="R52" s="15">
        <v>2364</v>
      </c>
      <c r="S52" s="15" t="s">
        <v>2393</v>
      </c>
      <c r="T52" s="15" t="str">
        <f>HYPERLINK("http://dx.doi.org/10.1007/s12273-025-1327-6","http://dx.doi.org/10.1007/s12273-025-1327-6")</f>
        <v>http://dx.doi.org/10.1007/s12273-025-1327-6</v>
      </c>
      <c r="U52" s="15" t="s">
        <v>2251</v>
      </c>
      <c r="V52" s="15" t="s">
        <v>2394</v>
      </c>
    </row>
    <row r="53" spans="1:22" x14ac:dyDescent="0.4">
      <c r="A53" s="15" t="s">
        <v>2395</v>
      </c>
      <c r="B53" s="15" t="s">
        <v>2396</v>
      </c>
      <c r="C53" s="15" t="s">
        <v>2397</v>
      </c>
      <c r="D53" s="15" t="s">
        <v>12</v>
      </c>
      <c r="E53" s="15" t="s">
        <v>262</v>
      </c>
      <c r="F53" s="15" t="s">
        <v>2398</v>
      </c>
      <c r="G53" s="15" t="s">
        <v>2399</v>
      </c>
      <c r="H53" s="15" t="s">
        <v>2400</v>
      </c>
      <c r="I53" s="15" t="s">
        <v>2401</v>
      </c>
      <c r="J53" s="15" t="s">
        <v>2402</v>
      </c>
      <c r="K53" s="15" t="s">
        <v>2403</v>
      </c>
      <c r="L53" s="15" t="s">
        <v>2404</v>
      </c>
      <c r="M53" s="15" t="s">
        <v>19</v>
      </c>
      <c r="N53" s="15">
        <v>2025</v>
      </c>
      <c r="O53" s="15">
        <v>18</v>
      </c>
      <c r="P53" s="15">
        <v>8</v>
      </c>
      <c r="Q53" s="15">
        <v>2093</v>
      </c>
      <c r="R53" s="15">
        <v>2114</v>
      </c>
      <c r="S53" s="15" t="s">
        <v>2405</v>
      </c>
      <c r="T53" s="15" t="str">
        <f>HYPERLINK("http://dx.doi.org/10.1007/s12273-025-1287-x","http://dx.doi.org/10.1007/s12273-025-1287-x")</f>
        <v>http://dx.doi.org/10.1007/s12273-025-1287-x</v>
      </c>
      <c r="U53" s="15" t="s">
        <v>2251</v>
      </c>
      <c r="V53" s="15" t="s">
        <v>2406</v>
      </c>
    </row>
    <row r="54" spans="1:22" x14ac:dyDescent="0.4">
      <c r="A54" s="15" t="s">
        <v>2407</v>
      </c>
      <c r="B54" s="15" t="s">
        <v>2408</v>
      </c>
      <c r="C54" s="15" t="s">
        <v>2409</v>
      </c>
      <c r="D54" s="15" t="s">
        <v>12</v>
      </c>
      <c r="E54" s="15" t="s">
        <v>262</v>
      </c>
      <c r="F54" s="15" t="s">
        <v>2410</v>
      </c>
      <c r="G54" s="15" t="s">
        <v>2411</v>
      </c>
      <c r="H54" s="15" t="s">
        <v>2412</v>
      </c>
      <c r="I54" s="15" t="s">
        <v>2413</v>
      </c>
      <c r="J54" s="15" t="s">
        <v>269</v>
      </c>
      <c r="K54" s="15" t="s">
        <v>2414</v>
      </c>
      <c r="L54" s="15" t="s">
        <v>2415</v>
      </c>
      <c r="M54" s="15" t="s">
        <v>20</v>
      </c>
      <c r="N54" s="15">
        <v>2025</v>
      </c>
      <c r="O54" s="15">
        <v>18</v>
      </c>
      <c r="P54" s="15">
        <v>7</v>
      </c>
      <c r="Q54" s="15">
        <v>1799</v>
      </c>
      <c r="R54" s="15">
        <v>1818</v>
      </c>
      <c r="S54" s="15" t="s">
        <v>2416</v>
      </c>
      <c r="T54" s="15" t="str">
        <f>HYPERLINK("http://dx.doi.org/10.1007/s12273-025-1273-3","http://dx.doi.org/10.1007/s12273-025-1273-3")</f>
        <v>http://dx.doi.org/10.1007/s12273-025-1273-3</v>
      </c>
      <c r="U54" s="15" t="s">
        <v>2417</v>
      </c>
      <c r="V54" s="15" t="s">
        <v>2418</v>
      </c>
    </row>
    <row r="55" spans="1:22" x14ac:dyDescent="0.4">
      <c r="A55" s="15" t="s">
        <v>2419</v>
      </c>
      <c r="B55" s="15" t="s">
        <v>2420</v>
      </c>
      <c r="C55" s="15" t="s">
        <v>2421</v>
      </c>
      <c r="D55" s="15" t="s">
        <v>12</v>
      </c>
      <c r="E55" s="15" t="s">
        <v>262</v>
      </c>
      <c r="F55" s="15" t="s">
        <v>2422</v>
      </c>
      <c r="G55" s="15" t="s">
        <v>2423</v>
      </c>
      <c r="H55" s="15" t="s">
        <v>2424</v>
      </c>
      <c r="I55" s="15" t="s">
        <v>2425</v>
      </c>
      <c r="J55" s="15" t="s">
        <v>2426</v>
      </c>
      <c r="K55" s="15" t="s">
        <v>2427</v>
      </c>
      <c r="L55" s="15" t="s">
        <v>274</v>
      </c>
      <c r="M55" s="15" t="s">
        <v>19</v>
      </c>
      <c r="N55" s="15">
        <v>2025</v>
      </c>
      <c r="O55" s="15">
        <v>18</v>
      </c>
      <c r="P55" s="15">
        <v>8</v>
      </c>
      <c r="Q55" s="15">
        <v>1929</v>
      </c>
      <c r="R55" s="15">
        <v>1944</v>
      </c>
      <c r="S55" s="15" t="s">
        <v>2428</v>
      </c>
      <c r="T55" s="15" t="str">
        <f>HYPERLINK("http://dx.doi.org/10.1007/s12273-025-1307-x","http://dx.doi.org/10.1007/s12273-025-1307-x")</f>
        <v>http://dx.doi.org/10.1007/s12273-025-1307-x</v>
      </c>
      <c r="U55" s="15" t="s">
        <v>2417</v>
      </c>
      <c r="V55" s="15" t="s">
        <v>2429</v>
      </c>
    </row>
    <row r="56" spans="1:22" x14ac:dyDescent="0.4">
      <c r="A56" s="15" t="s">
        <v>2430</v>
      </c>
      <c r="B56" s="15" t="s">
        <v>2431</v>
      </c>
      <c r="C56" s="15" t="s">
        <v>2432</v>
      </c>
      <c r="D56" s="15" t="s">
        <v>12</v>
      </c>
      <c r="E56" s="15" t="s">
        <v>262</v>
      </c>
      <c r="F56" s="15" t="s">
        <v>2433</v>
      </c>
      <c r="G56" s="15" t="s">
        <v>2434</v>
      </c>
      <c r="H56" s="15" t="s">
        <v>2435</v>
      </c>
      <c r="I56" s="15" t="s">
        <v>2436</v>
      </c>
      <c r="J56" s="15" t="s">
        <v>2437</v>
      </c>
      <c r="K56" s="15" t="s">
        <v>2438</v>
      </c>
      <c r="L56" s="15" t="s">
        <v>2439</v>
      </c>
      <c r="M56" s="15" t="s">
        <v>20</v>
      </c>
      <c r="N56" s="15">
        <v>2025</v>
      </c>
      <c r="O56" s="15">
        <v>18</v>
      </c>
      <c r="P56" s="15">
        <v>7</v>
      </c>
      <c r="Q56" s="15">
        <v>1727</v>
      </c>
      <c r="R56" s="15">
        <v>1742</v>
      </c>
      <c r="S56" s="15" t="s">
        <v>2440</v>
      </c>
      <c r="T56" s="15" t="str">
        <f>HYPERLINK("http://dx.doi.org/10.1007/s12273-025-1278-y","http://dx.doi.org/10.1007/s12273-025-1278-y")</f>
        <v>http://dx.doi.org/10.1007/s12273-025-1278-y</v>
      </c>
      <c r="U56" s="15" t="s">
        <v>2417</v>
      </c>
      <c r="V56" s="15" t="s">
        <v>2441</v>
      </c>
    </row>
    <row r="57" spans="1:22" x14ac:dyDescent="0.4">
      <c r="A57" s="15" t="s">
        <v>2442</v>
      </c>
      <c r="B57" s="15" t="s">
        <v>2443</v>
      </c>
      <c r="C57" s="15" t="s">
        <v>2444</v>
      </c>
      <c r="D57" s="15" t="s">
        <v>12</v>
      </c>
      <c r="E57" s="15" t="s">
        <v>262</v>
      </c>
      <c r="F57" s="15" t="s">
        <v>2445</v>
      </c>
      <c r="G57" s="15" t="s">
        <v>2446</v>
      </c>
      <c r="H57" s="15" t="s">
        <v>2447</v>
      </c>
      <c r="I57" s="15" t="s">
        <v>2448</v>
      </c>
      <c r="J57" s="15" t="s">
        <v>2449</v>
      </c>
      <c r="K57" s="15" t="s">
        <v>2450</v>
      </c>
      <c r="L57" s="15" t="s">
        <v>2451</v>
      </c>
      <c r="M57" s="15" t="s">
        <v>19</v>
      </c>
      <c r="N57" s="15">
        <v>2025</v>
      </c>
      <c r="O57" s="15">
        <v>18</v>
      </c>
      <c r="P57" s="15">
        <v>8</v>
      </c>
      <c r="Q57" s="15">
        <v>1963</v>
      </c>
      <c r="R57" s="15">
        <v>1999</v>
      </c>
      <c r="S57" s="15" t="s">
        <v>2452</v>
      </c>
      <c r="T57" s="15" t="str">
        <f>HYPERLINK("http://dx.doi.org/10.1007/s12273-025-1300-4","http://dx.doi.org/10.1007/s12273-025-1300-4")</f>
        <v>http://dx.doi.org/10.1007/s12273-025-1300-4</v>
      </c>
      <c r="U57" s="15" t="s">
        <v>2417</v>
      </c>
      <c r="V57" s="15" t="s">
        <v>2453</v>
      </c>
    </row>
    <row r="58" spans="1:22" x14ac:dyDescent="0.4">
      <c r="A58" s="15" t="s">
        <v>2454</v>
      </c>
      <c r="B58" s="15" t="s">
        <v>2455</v>
      </c>
      <c r="C58" s="15" t="s">
        <v>2456</v>
      </c>
      <c r="D58" s="15" t="s">
        <v>12</v>
      </c>
      <c r="E58" s="15" t="s">
        <v>262</v>
      </c>
      <c r="F58" s="15" t="s">
        <v>2457</v>
      </c>
      <c r="G58" s="15" t="s">
        <v>11</v>
      </c>
      <c r="H58" s="15" t="s">
        <v>2458</v>
      </c>
      <c r="I58" s="15" t="s">
        <v>2459</v>
      </c>
      <c r="J58" s="15" t="s">
        <v>2460</v>
      </c>
      <c r="K58" s="15" t="s">
        <v>2461</v>
      </c>
      <c r="L58" s="15" t="s">
        <v>272</v>
      </c>
      <c r="M58" s="15" t="s">
        <v>16</v>
      </c>
      <c r="N58" s="15">
        <v>2025</v>
      </c>
      <c r="O58" s="15">
        <v>18</v>
      </c>
      <c r="P58" s="15">
        <v>9</v>
      </c>
      <c r="Q58" s="15">
        <v>2381</v>
      </c>
      <c r="R58" s="15">
        <v>2403</v>
      </c>
      <c r="S58" s="15" t="s">
        <v>2462</v>
      </c>
      <c r="T58" s="15" t="str">
        <f>HYPERLINK("http://dx.doi.org/10.1007/s12273-025-1318-7","http://dx.doi.org/10.1007/s12273-025-1318-7")</f>
        <v>http://dx.doi.org/10.1007/s12273-025-1318-7</v>
      </c>
      <c r="U58" s="15" t="s">
        <v>2417</v>
      </c>
      <c r="V58" s="15" t="s">
        <v>2463</v>
      </c>
    </row>
    <row r="59" spans="1:22" x14ac:dyDescent="0.4">
      <c r="A59" s="15" t="s">
        <v>2464</v>
      </c>
      <c r="B59" s="15" t="s">
        <v>2465</v>
      </c>
      <c r="C59" s="15" t="s">
        <v>2466</v>
      </c>
      <c r="D59" s="15" t="s">
        <v>12</v>
      </c>
      <c r="E59" s="15" t="s">
        <v>262</v>
      </c>
      <c r="F59" s="15" t="s">
        <v>2467</v>
      </c>
      <c r="G59" s="15" t="s">
        <v>2468</v>
      </c>
      <c r="H59" s="15" t="s">
        <v>2469</v>
      </c>
      <c r="I59" s="15" t="s">
        <v>2470</v>
      </c>
      <c r="J59" s="15" t="s">
        <v>2471</v>
      </c>
      <c r="K59" s="15" t="s">
        <v>2472</v>
      </c>
      <c r="L59" s="15" t="s">
        <v>2473</v>
      </c>
      <c r="M59" s="15" t="s">
        <v>16</v>
      </c>
      <c r="N59" s="15">
        <v>2025</v>
      </c>
      <c r="O59" s="15">
        <v>18</v>
      </c>
      <c r="P59" s="15">
        <v>9</v>
      </c>
      <c r="Q59" s="15">
        <v>2435</v>
      </c>
      <c r="R59" s="15">
        <v>2458</v>
      </c>
      <c r="S59" s="15" t="s">
        <v>2474</v>
      </c>
      <c r="T59" s="15" t="str">
        <f>HYPERLINK("http://dx.doi.org/10.1007/s12273-025-1313-z","http://dx.doi.org/10.1007/s12273-025-1313-z")</f>
        <v>http://dx.doi.org/10.1007/s12273-025-1313-z</v>
      </c>
      <c r="U59" s="15" t="s">
        <v>2417</v>
      </c>
      <c r="V59" s="15" t="s">
        <v>2475</v>
      </c>
    </row>
    <row r="60" spans="1:22" x14ac:dyDescent="0.4">
      <c r="A60" s="15" t="s">
        <v>2476</v>
      </c>
      <c r="B60" s="15" t="s">
        <v>2477</v>
      </c>
      <c r="C60" s="15" t="s">
        <v>2478</v>
      </c>
      <c r="D60" s="15" t="s">
        <v>12</v>
      </c>
      <c r="E60" s="15" t="s">
        <v>262</v>
      </c>
      <c r="F60" s="15" t="s">
        <v>2479</v>
      </c>
      <c r="G60" s="15" t="s">
        <v>2480</v>
      </c>
      <c r="H60" s="15" t="s">
        <v>2481</v>
      </c>
      <c r="I60" s="15" t="s">
        <v>2482</v>
      </c>
      <c r="J60" s="15" t="s">
        <v>665</v>
      </c>
      <c r="K60" s="15" t="s">
        <v>986</v>
      </c>
      <c r="L60" s="15" t="s">
        <v>987</v>
      </c>
      <c r="M60" s="15" t="s">
        <v>20</v>
      </c>
      <c r="N60" s="15">
        <v>2025</v>
      </c>
      <c r="O60" s="15">
        <v>18</v>
      </c>
      <c r="P60" s="15">
        <v>7</v>
      </c>
      <c r="Q60" s="15">
        <v>1785</v>
      </c>
      <c r="R60" s="15">
        <v>1797</v>
      </c>
      <c r="S60" s="15" t="s">
        <v>2483</v>
      </c>
      <c r="T60" s="15" t="str">
        <f>HYPERLINK("http://dx.doi.org/10.1007/s12273-025-1317-8","http://dx.doi.org/10.1007/s12273-025-1317-8")</f>
        <v>http://dx.doi.org/10.1007/s12273-025-1317-8</v>
      </c>
      <c r="U60" s="15" t="s">
        <v>2417</v>
      </c>
      <c r="V60" s="15" t="s">
        <v>2484</v>
      </c>
    </row>
    <row r="61" spans="1:22" x14ac:dyDescent="0.4">
      <c r="A61" s="15" t="s">
        <v>2485</v>
      </c>
      <c r="B61" s="15" t="s">
        <v>2486</v>
      </c>
      <c r="C61" s="15" t="s">
        <v>2487</v>
      </c>
      <c r="D61" s="15" t="s">
        <v>12</v>
      </c>
      <c r="E61" s="15" t="s">
        <v>262</v>
      </c>
      <c r="F61" s="15" t="s">
        <v>2488</v>
      </c>
      <c r="G61" s="15" t="s">
        <v>2489</v>
      </c>
      <c r="H61" s="15" t="s">
        <v>2490</v>
      </c>
      <c r="I61" s="15" t="s">
        <v>2491</v>
      </c>
      <c r="J61" s="15" t="s">
        <v>427</v>
      </c>
      <c r="K61" s="15" t="s">
        <v>2492</v>
      </c>
      <c r="L61" s="15" t="s">
        <v>429</v>
      </c>
      <c r="M61" s="15" t="s">
        <v>20</v>
      </c>
      <c r="N61" s="15">
        <v>2025</v>
      </c>
      <c r="O61" s="15">
        <v>18</v>
      </c>
      <c r="P61" s="15">
        <v>7</v>
      </c>
      <c r="Q61" s="15">
        <v>1587</v>
      </c>
      <c r="R61" s="15">
        <v>1609</v>
      </c>
      <c r="S61" s="15" t="s">
        <v>2493</v>
      </c>
      <c r="T61" s="15" t="str">
        <f>HYPERLINK("http://dx.doi.org/10.1007/s12273-025-1319-6","http://dx.doi.org/10.1007/s12273-025-1319-6")</f>
        <v>http://dx.doi.org/10.1007/s12273-025-1319-6</v>
      </c>
      <c r="U61" s="15" t="s">
        <v>2417</v>
      </c>
      <c r="V61" s="15" t="s">
        <v>2494</v>
      </c>
    </row>
    <row r="62" spans="1:22" x14ac:dyDescent="0.4">
      <c r="A62" s="15" t="s">
        <v>2495</v>
      </c>
      <c r="B62" s="15" t="s">
        <v>2496</v>
      </c>
      <c r="C62" s="15" t="s">
        <v>2497</v>
      </c>
      <c r="D62" s="15" t="s">
        <v>12</v>
      </c>
      <c r="E62" s="15" t="s">
        <v>262</v>
      </c>
      <c r="F62" s="15" t="s">
        <v>2498</v>
      </c>
      <c r="G62" s="15" t="s">
        <v>2499</v>
      </c>
      <c r="H62" s="15" t="s">
        <v>2500</v>
      </c>
      <c r="I62" s="15" t="s">
        <v>2501</v>
      </c>
      <c r="J62" s="15" t="s">
        <v>2502</v>
      </c>
      <c r="K62" s="15" t="s">
        <v>2503</v>
      </c>
      <c r="L62" s="15" t="s">
        <v>2504</v>
      </c>
      <c r="M62" s="15" t="s">
        <v>16</v>
      </c>
      <c r="N62" s="15">
        <v>2025</v>
      </c>
      <c r="O62" s="15">
        <v>18</v>
      </c>
      <c r="P62" s="15">
        <v>9</v>
      </c>
      <c r="Q62" s="15">
        <v>2293</v>
      </c>
      <c r="R62" s="15">
        <v>2321</v>
      </c>
      <c r="S62" s="15" t="s">
        <v>2505</v>
      </c>
      <c r="T62" s="15" t="str">
        <f>HYPERLINK("http://dx.doi.org/10.1007/s12273-025-1315-x","http://dx.doi.org/10.1007/s12273-025-1315-x")</f>
        <v>http://dx.doi.org/10.1007/s12273-025-1315-x</v>
      </c>
      <c r="U62" s="15" t="s">
        <v>2417</v>
      </c>
      <c r="V62" s="15" t="s">
        <v>2506</v>
      </c>
    </row>
    <row r="63" spans="1:22" x14ac:dyDescent="0.4">
      <c r="A63" s="15" t="s">
        <v>2507</v>
      </c>
      <c r="B63" s="15" t="s">
        <v>2508</v>
      </c>
      <c r="C63" s="15" t="s">
        <v>2509</v>
      </c>
      <c r="D63" s="15" t="s">
        <v>12</v>
      </c>
      <c r="E63" s="15" t="s">
        <v>262</v>
      </c>
      <c r="F63" s="15" t="s">
        <v>2510</v>
      </c>
      <c r="G63" s="15" t="s">
        <v>2511</v>
      </c>
      <c r="H63" s="15" t="s">
        <v>2512</v>
      </c>
      <c r="I63" s="15" t="s">
        <v>2513</v>
      </c>
      <c r="J63" s="15" t="s">
        <v>2514</v>
      </c>
      <c r="K63" s="15" t="s">
        <v>2515</v>
      </c>
      <c r="L63" s="15" t="s">
        <v>2516</v>
      </c>
      <c r="M63" s="15" t="s">
        <v>16</v>
      </c>
      <c r="N63" s="15">
        <v>2025</v>
      </c>
      <c r="O63" s="15">
        <v>18</v>
      </c>
      <c r="P63" s="15">
        <v>9</v>
      </c>
      <c r="Q63" s="15">
        <v>2227</v>
      </c>
      <c r="R63" s="15">
        <v>2249</v>
      </c>
      <c r="S63" s="15" t="s">
        <v>2517</v>
      </c>
      <c r="T63" s="15" t="str">
        <f>HYPERLINK("http://dx.doi.org/10.1007/s12273-025-1281-3","http://dx.doi.org/10.1007/s12273-025-1281-3")</f>
        <v>http://dx.doi.org/10.1007/s12273-025-1281-3</v>
      </c>
      <c r="U63" s="15" t="s">
        <v>2417</v>
      </c>
      <c r="V63" s="15" t="s">
        <v>2518</v>
      </c>
    </row>
    <row r="64" spans="1:22" x14ac:dyDescent="0.4">
      <c r="A64" s="15" t="s">
        <v>2519</v>
      </c>
      <c r="B64" s="15" t="s">
        <v>2520</v>
      </c>
      <c r="C64" s="15" t="s">
        <v>2521</v>
      </c>
      <c r="D64" s="15" t="s">
        <v>12</v>
      </c>
      <c r="E64" s="15" t="s">
        <v>262</v>
      </c>
      <c r="F64" s="15" t="s">
        <v>2522</v>
      </c>
      <c r="G64" s="15" t="s">
        <v>2523</v>
      </c>
      <c r="H64" s="15" t="s">
        <v>2524</v>
      </c>
      <c r="I64" s="15" t="s">
        <v>2525</v>
      </c>
      <c r="J64" s="15" t="s">
        <v>2526</v>
      </c>
      <c r="K64" s="15" t="s">
        <v>2527</v>
      </c>
      <c r="L64" s="15" t="s">
        <v>2528</v>
      </c>
      <c r="M64" s="15" t="s">
        <v>16</v>
      </c>
      <c r="N64" s="15">
        <v>2025</v>
      </c>
      <c r="O64" s="15">
        <v>18</v>
      </c>
      <c r="P64" s="15">
        <v>9</v>
      </c>
      <c r="Q64" s="15">
        <v>2251</v>
      </c>
      <c r="R64" s="15">
        <v>2273</v>
      </c>
      <c r="S64" s="15" t="s">
        <v>2529</v>
      </c>
      <c r="T64" s="15" t="str">
        <f>HYPERLINK("http://dx.doi.org/10.1007/s12273-025-1320-0","http://dx.doi.org/10.1007/s12273-025-1320-0")</f>
        <v>http://dx.doi.org/10.1007/s12273-025-1320-0</v>
      </c>
      <c r="U64" s="15" t="s">
        <v>2417</v>
      </c>
      <c r="V64" s="15" t="s">
        <v>2530</v>
      </c>
    </row>
    <row r="65" spans="1:22" x14ac:dyDescent="0.4">
      <c r="A65" s="15" t="s">
        <v>2531</v>
      </c>
      <c r="B65" s="15" t="s">
        <v>2532</v>
      </c>
      <c r="C65" s="15" t="s">
        <v>2533</v>
      </c>
      <c r="D65" s="15" t="s">
        <v>12</v>
      </c>
      <c r="E65" s="15" t="s">
        <v>262</v>
      </c>
      <c r="F65" s="15" t="s">
        <v>2534</v>
      </c>
      <c r="G65" s="15" t="s">
        <v>2535</v>
      </c>
      <c r="H65" s="15" t="s">
        <v>2536</v>
      </c>
      <c r="I65" s="15" t="s">
        <v>2537</v>
      </c>
      <c r="J65" s="15" t="s">
        <v>2538</v>
      </c>
      <c r="K65" s="15" t="s">
        <v>2539</v>
      </c>
      <c r="L65" s="15" t="s">
        <v>417</v>
      </c>
      <c r="M65" s="15" t="s">
        <v>19</v>
      </c>
      <c r="N65" s="15">
        <v>2025</v>
      </c>
      <c r="O65" s="15">
        <v>18</v>
      </c>
      <c r="P65" s="15">
        <v>8</v>
      </c>
      <c r="Q65" s="15">
        <v>2067</v>
      </c>
      <c r="R65" s="15">
        <v>2084</v>
      </c>
      <c r="S65" s="15" t="s">
        <v>2540</v>
      </c>
      <c r="T65" s="15" t="str">
        <f>HYPERLINK("http://dx.doi.org/10.1007/s12273-025-1303-1","http://dx.doi.org/10.1007/s12273-025-1303-1")</f>
        <v>http://dx.doi.org/10.1007/s12273-025-1303-1</v>
      </c>
      <c r="U65" s="15" t="s">
        <v>2417</v>
      </c>
      <c r="V65" s="15" t="s">
        <v>2541</v>
      </c>
    </row>
    <row r="66" spans="1:22" x14ac:dyDescent="0.4">
      <c r="A66" s="15" t="s">
        <v>2542</v>
      </c>
      <c r="B66" s="15" t="s">
        <v>2543</v>
      </c>
      <c r="C66" s="15" t="s">
        <v>2544</v>
      </c>
      <c r="D66" s="15" t="s">
        <v>12</v>
      </c>
      <c r="E66" s="15" t="s">
        <v>262</v>
      </c>
      <c r="F66" s="15" t="s">
        <v>2545</v>
      </c>
      <c r="G66" s="15" t="s">
        <v>2546</v>
      </c>
      <c r="H66" s="15" t="s">
        <v>2547</v>
      </c>
      <c r="I66" s="15" t="s">
        <v>2548</v>
      </c>
      <c r="J66" s="15" t="s">
        <v>2549</v>
      </c>
      <c r="K66" s="15" t="s">
        <v>2550</v>
      </c>
      <c r="L66" s="15" t="s">
        <v>2551</v>
      </c>
      <c r="M66" s="15" t="s">
        <v>19</v>
      </c>
      <c r="N66" s="15">
        <v>2025</v>
      </c>
      <c r="O66" s="15">
        <v>18</v>
      </c>
      <c r="P66" s="15">
        <v>8</v>
      </c>
      <c r="Q66" s="15">
        <v>2085</v>
      </c>
      <c r="R66" s="15">
        <v>2092</v>
      </c>
      <c r="S66" s="15" t="s">
        <v>2552</v>
      </c>
      <c r="T66" s="15" t="str">
        <f>HYPERLINK("http://dx.doi.org/10.1007/s12273-025-1309-8","http://dx.doi.org/10.1007/s12273-025-1309-8")</f>
        <v>http://dx.doi.org/10.1007/s12273-025-1309-8</v>
      </c>
      <c r="U66" s="15" t="s">
        <v>2417</v>
      </c>
      <c r="V66" s="15" t="s">
        <v>2553</v>
      </c>
    </row>
    <row r="67" spans="1:22" x14ac:dyDescent="0.4">
      <c r="A67" s="15" t="s">
        <v>2554</v>
      </c>
      <c r="B67" s="15" t="s">
        <v>2555</v>
      </c>
      <c r="C67" s="15" t="s">
        <v>2556</v>
      </c>
      <c r="D67" s="15" t="s">
        <v>12</v>
      </c>
      <c r="E67" s="15" t="s">
        <v>262</v>
      </c>
      <c r="F67" s="15" t="s">
        <v>2557</v>
      </c>
      <c r="G67" s="15" t="s">
        <v>2558</v>
      </c>
      <c r="H67" s="15" t="s">
        <v>2559</v>
      </c>
      <c r="I67" s="15" t="s">
        <v>2560</v>
      </c>
      <c r="J67" s="15" t="s">
        <v>2561</v>
      </c>
      <c r="K67" s="15" t="s">
        <v>2562</v>
      </c>
      <c r="L67" s="15" t="s">
        <v>2563</v>
      </c>
      <c r="M67" s="15" t="s">
        <v>16</v>
      </c>
      <c r="N67" s="15">
        <v>2025</v>
      </c>
      <c r="O67" s="15">
        <v>18</v>
      </c>
      <c r="P67" s="15">
        <v>9</v>
      </c>
      <c r="Q67" s="15">
        <v>2475</v>
      </c>
      <c r="R67" s="15">
        <v>2490</v>
      </c>
      <c r="S67" s="15" t="s">
        <v>2564</v>
      </c>
      <c r="T67" s="15" t="str">
        <f>HYPERLINK("http://dx.doi.org/10.1007/s12273-025-1312-0","http://dx.doi.org/10.1007/s12273-025-1312-0")</f>
        <v>http://dx.doi.org/10.1007/s12273-025-1312-0</v>
      </c>
      <c r="U67" s="15" t="s">
        <v>2417</v>
      </c>
      <c r="V67" s="15" t="s">
        <v>2565</v>
      </c>
    </row>
    <row r="68" spans="1:22" x14ac:dyDescent="0.4">
      <c r="A68" s="15" t="s">
        <v>2566</v>
      </c>
      <c r="B68" s="15" t="s">
        <v>2567</v>
      </c>
      <c r="C68" s="15" t="s">
        <v>2568</v>
      </c>
      <c r="D68" s="15" t="s">
        <v>12</v>
      </c>
      <c r="E68" s="15" t="s">
        <v>262</v>
      </c>
      <c r="F68" s="15" t="s">
        <v>2569</v>
      </c>
      <c r="G68" s="15" t="s">
        <v>11</v>
      </c>
      <c r="H68" s="15" t="s">
        <v>2570</v>
      </c>
      <c r="I68" s="15" t="s">
        <v>2571</v>
      </c>
      <c r="J68" s="15" t="s">
        <v>2572</v>
      </c>
      <c r="K68" s="15" t="s">
        <v>2573</v>
      </c>
      <c r="L68" s="15" t="s">
        <v>2574</v>
      </c>
      <c r="M68" s="15" t="s">
        <v>19</v>
      </c>
      <c r="N68" s="15">
        <v>2025</v>
      </c>
      <c r="O68" s="15">
        <v>18</v>
      </c>
      <c r="P68" s="15">
        <v>8</v>
      </c>
      <c r="Q68" s="15">
        <v>2115</v>
      </c>
      <c r="R68" s="15">
        <v>2133</v>
      </c>
      <c r="S68" s="15" t="s">
        <v>2575</v>
      </c>
      <c r="T68" s="15" t="str">
        <f>HYPERLINK("http://dx.doi.org/10.1007/s12273-025-1260-8","http://dx.doi.org/10.1007/s12273-025-1260-8")</f>
        <v>http://dx.doi.org/10.1007/s12273-025-1260-8</v>
      </c>
      <c r="U68" s="15" t="s">
        <v>2417</v>
      </c>
      <c r="V68" s="15" t="s">
        <v>2576</v>
      </c>
    </row>
    <row r="69" spans="1:22" x14ac:dyDescent="0.4">
      <c r="A69" s="15" t="s">
        <v>2577</v>
      </c>
      <c r="B69" s="15" t="s">
        <v>2578</v>
      </c>
      <c r="C69" s="15" t="s">
        <v>2579</v>
      </c>
      <c r="D69" s="15" t="s">
        <v>12</v>
      </c>
      <c r="E69" s="15" t="s">
        <v>262</v>
      </c>
      <c r="F69" s="15" t="s">
        <v>2580</v>
      </c>
      <c r="G69" s="15" t="s">
        <v>2581</v>
      </c>
      <c r="H69" s="15" t="s">
        <v>2582</v>
      </c>
      <c r="I69" s="15" t="s">
        <v>2583</v>
      </c>
      <c r="J69" s="15" t="s">
        <v>974</v>
      </c>
      <c r="K69" s="15" t="s">
        <v>2584</v>
      </c>
      <c r="L69" s="15" t="s">
        <v>2585</v>
      </c>
      <c r="M69" s="15" t="s">
        <v>16</v>
      </c>
      <c r="N69" s="15">
        <v>2025</v>
      </c>
      <c r="O69" s="15">
        <v>18</v>
      </c>
      <c r="P69" s="15">
        <v>9</v>
      </c>
      <c r="Q69" s="15">
        <v>2275</v>
      </c>
      <c r="R69" s="15">
        <v>2291</v>
      </c>
      <c r="S69" s="15" t="s">
        <v>2586</v>
      </c>
      <c r="T69" s="15" t="str">
        <f>HYPERLINK("http://dx.doi.org/10.1007/s12273-025-1311-1","http://dx.doi.org/10.1007/s12273-025-1311-1")</f>
        <v>http://dx.doi.org/10.1007/s12273-025-1311-1</v>
      </c>
      <c r="U69" s="15" t="s">
        <v>2417</v>
      </c>
      <c r="V69" s="15" t="s">
        <v>2587</v>
      </c>
    </row>
    <row r="70" spans="1:22" x14ac:dyDescent="0.4">
      <c r="A70" s="15" t="s">
        <v>2588</v>
      </c>
      <c r="B70" s="15" t="s">
        <v>2589</v>
      </c>
      <c r="C70" s="15" t="s">
        <v>2590</v>
      </c>
      <c r="D70" s="15" t="s">
        <v>12</v>
      </c>
      <c r="E70" s="15" t="s">
        <v>262</v>
      </c>
      <c r="F70" s="15" t="s">
        <v>2591</v>
      </c>
      <c r="G70" s="15" t="s">
        <v>2592</v>
      </c>
      <c r="H70" s="15" t="s">
        <v>2593</v>
      </c>
      <c r="I70" s="15" t="s">
        <v>2594</v>
      </c>
      <c r="J70" s="15" t="s">
        <v>2595</v>
      </c>
      <c r="K70" s="15" t="s">
        <v>2596</v>
      </c>
      <c r="L70" s="15" t="s">
        <v>2597</v>
      </c>
      <c r="M70" s="15" t="s">
        <v>19</v>
      </c>
      <c r="N70" s="15">
        <v>2025</v>
      </c>
      <c r="O70" s="15">
        <v>18</v>
      </c>
      <c r="P70" s="15">
        <v>8</v>
      </c>
      <c r="Q70" s="15">
        <v>2175</v>
      </c>
      <c r="R70" s="15">
        <v>2199</v>
      </c>
      <c r="S70" s="15" t="s">
        <v>2598</v>
      </c>
      <c r="T70" s="15" t="str">
        <f>HYPERLINK("http://dx.doi.org/10.1007/s12273-025-1301-3","http://dx.doi.org/10.1007/s12273-025-1301-3")</f>
        <v>http://dx.doi.org/10.1007/s12273-025-1301-3</v>
      </c>
      <c r="U70" s="15" t="s">
        <v>2599</v>
      </c>
      <c r="V70" s="15" t="s">
        <v>2600</v>
      </c>
    </row>
    <row r="71" spans="1:22" x14ac:dyDescent="0.4">
      <c r="A71" s="15" t="s">
        <v>2601</v>
      </c>
      <c r="B71" s="15" t="s">
        <v>2602</v>
      </c>
      <c r="C71" s="15" t="s">
        <v>2603</v>
      </c>
      <c r="D71" s="15" t="s">
        <v>12</v>
      </c>
      <c r="E71" s="15" t="s">
        <v>262</v>
      </c>
      <c r="F71" s="15" t="s">
        <v>2604</v>
      </c>
      <c r="G71" s="15" t="s">
        <v>2605</v>
      </c>
      <c r="H71" s="15" t="s">
        <v>2606</v>
      </c>
      <c r="I71" s="15" t="s">
        <v>2607</v>
      </c>
      <c r="J71" s="15" t="s">
        <v>2608</v>
      </c>
      <c r="K71" s="15" t="s">
        <v>2609</v>
      </c>
      <c r="L71" s="15" t="s">
        <v>2610</v>
      </c>
      <c r="M71" s="15" t="s">
        <v>20</v>
      </c>
      <c r="N71" s="15">
        <v>2025</v>
      </c>
      <c r="O71" s="15">
        <v>18</v>
      </c>
      <c r="P71" s="15">
        <v>7</v>
      </c>
      <c r="Q71" s="15">
        <v>1677</v>
      </c>
      <c r="R71" s="15">
        <v>1696</v>
      </c>
      <c r="S71" s="15" t="s">
        <v>2611</v>
      </c>
      <c r="T71" s="15" t="str">
        <f>HYPERLINK("http://dx.doi.org/10.1007/s12273-025-1280-4","http://dx.doi.org/10.1007/s12273-025-1280-4")</f>
        <v>http://dx.doi.org/10.1007/s12273-025-1280-4</v>
      </c>
      <c r="U71" s="15" t="s">
        <v>2599</v>
      </c>
      <c r="V71" s="15" t="s">
        <v>2612</v>
      </c>
    </row>
    <row r="72" spans="1:22" x14ac:dyDescent="0.4">
      <c r="A72" s="15" t="s">
        <v>2613</v>
      </c>
      <c r="B72" s="15" t="s">
        <v>2614</v>
      </c>
      <c r="C72" s="15" t="s">
        <v>2615</v>
      </c>
      <c r="D72" s="15" t="s">
        <v>12</v>
      </c>
      <c r="E72" s="15" t="s">
        <v>262</v>
      </c>
      <c r="F72" s="15" t="s">
        <v>2616</v>
      </c>
      <c r="G72" s="15" t="s">
        <v>2617</v>
      </c>
      <c r="H72" s="15" t="s">
        <v>2618</v>
      </c>
      <c r="I72" s="15" t="s">
        <v>2619</v>
      </c>
      <c r="J72" s="15" t="s">
        <v>2620</v>
      </c>
      <c r="K72" s="15" t="s">
        <v>270</v>
      </c>
      <c r="L72" s="15" t="s">
        <v>271</v>
      </c>
      <c r="M72" s="15" t="s">
        <v>19</v>
      </c>
      <c r="N72" s="15">
        <v>2025</v>
      </c>
      <c r="O72" s="15">
        <v>18</v>
      </c>
      <c r="P72" s="15">
        <v>8</v>
      </c>
      <c r="Q72" s="15">
        <v>2019</v>
      </c>
      <c r="R72" s="15">
        <v>2038</v>
      </c>
      <c r="S72" s="15" t="s">
        <v>2621</v>
      </c>
      <c r="T72" s="15" t="str">
        <f>HYPERLINK("http://dx.doi.org/10.1007/s12273-025-1305-z","http://dx.doi.org/10.1007/s12273-025-1305-z")</f>
        <v>http://dx.doi.org/10.1007/s12273-025-1305-z</v>
      </c>
      <c r="U72" s="15" t="s">
        <v>2599</v>
      </c>
      <c r="V72" s="15" t="s">
        <v>2622</v>
      </c>
    </row>
    <row r="73" spans="1:22" x14ac:dyDescent="0.4">
      <c r="A73" s="15" t="s">
        <v>2623</v>
      </c>
      <c r="B73" s="15" t="s">
        <v>2624</v>
      </c>
      <c r="C73" s="15" t="s">
        <v>2625</v>
      </c>
      <c r="D73" s="15" t="s">
        <v>12</v>
      </c>
      <c r="E73" s="15" t="s">
        <v>262</v>
      </c>
      <c r="F73" s="15" t="s">
        <v>2626</v>
      </c>
      <c r="G73" s="15" t="s">
        <v>2627</v>
      </c>
      <c r="H73" s="15" t="s">
        <v>2628</v>
      </c>
      <c r="I73" s="15" t="s">
        <v>2629</v>
      </c>
      <c r="J73" s="15" t="s">
        <v>2630</v>
      </c>
      <c r="K73" s="15" t="s">
        <v>2631</v>
      </c>
      <c r="L73" s="15" t="s">
        <v>2632</v>
      </c>
      <c r="M73" s="15" t="s">
        <v>19</v>
      </c>
      <c r="N73" s="15">
        <v>2025</v>
      </c>
      <c r="O73" s="15">
        <v>18</v>
      </c>
      <c r="P73" s="15">
        <v>8</v>
      </c>
      <c r="Q73" s="15">
        <v>2039</v>
      </c>
      <c r="R73" s="15">
        <v>2055</v>
      </c>
      <c r="S73" s="15" t="s">
        <v>2633</v>
      </c>
      <c r="T73" s="15" t="str">
        <f>HYPERLINK("http://dx.doi.org/10.1007/s12273-025-1295-x","http://dx.doi.org/10.1007/s12273-025-1295-x")</f>
        <v>http://dx.doi.org/10.1007/s12273-025-1295-x</v>
      </c>
      <c r="U73" s="15" t="s">
        <v>2599</v>
      </c>
      <c r="V73" s="15" t="s">
        <v>2634</v>
      </c>
    </row>
    <row r="74" spans="1:22" x14ac:dyDescent="0.4">
      <c r="A74" s="15" t="s">
        <v>2635</v>
      </c>
      <c r="B74" s="15" t="s">
        <v>2636</v>
      </c>
      <c r="C74" s="15" t="s">
        <v>2637</v>
      </c>
      <c r="D74" s="15" t="s">
        <v>12</v>
      </c>
      <c r="E74" s="15" t="s">
        <v>262</v>
      </c>
      <c r="F74" s="15" t="s">
        <v>2638</v>
      </c>
      <c r="G74" s="15" t="s">
        <v>2639</v>
      </c>
      <c r="H74" s="15" t="s">
        <v>2640</v>
      </c>
      <c r="I74" s="15" t="s">
        <v>2641</v>
      </c>
      <c r="J74" s="15" t="s">
        <v>1946</v>
      </c>
      <c r="K74" s="15" t="s">
        <v>2642</v>
      </c>
      <c r="L74" s="15" t="s">
        <v>2643</v>
      </c>
      <c r="M74" s="15" t="s">
        <v>19</v>
      </c>
      <c r="N74" s="15">
        <v>2025</v>
      </c>
      <c r="O74" s="15">
        <v>18</v>
      </c>
      <c r="P74" s="15">
        <v>8</v>
      </c>
      <c r="Q74" s="15">
        <v>1945</v>
      </c>
      <c r="R74" s="15">
        <v>1961</v>
      </c>
      <c r="S74" s="15" t="s">
        <v>2644</v>
      </c>
      <c r="T74" s="15" t="str">
        <f>HYPERLINK("http://dx.doi.org/10.1007/s12273-025-1297-8","http://dx.doi.org/10.1007/s12273-025-1297-8")</f>
        <v>http://dx.doi.org/10.1007/s12273-025-1297-8</v>
      </c>
      <c r="U74" s="15" t="s">
        <v>2599</v>
      </c>
      <c r="V74" s="15" t="s">
        <v>2645</v>
      </c>
    </row>
    <row r="75" spans="1:22" x14ac:dyDescent="0.4">
      <c r="A75" s="15" t="s">
        <v>2646</v>
      </c>
      <c r="B75" s="15" t="s">
        <v>2647</v>
      </c>
      <c r="C75" s="15" t="s">
        <v>2648</v>
      </c>
      <c r="D75" s="15" t="s">
        <v>12</v>
      </c>
      <c r="E75" s="15" t="s">
        <v>262</v>
      </c>
      <c r="F75" s="15" t="s">
        <v>2649</v>
      </c>
      <c r="G75" s="15" t="s">
        <v>2650</v>
      </c>
      <c r="H75" s="15" t="s">
        <v>2651</v>
      </c>
      <c r="I75" s="15" t="s">
        <v>2652</v>
      </c>
      <c r="J75" s="15" t="s">
        <v>2653</v>
      </c>
      <c r="K75" s="15" t="s">
        <v>2654</v>
      </c>
      <c r="L75" s="15" t="s">
        <v>2655</v>
      </c>
      <c r="M75" s="15" t="s">
        <v>19</v>
      </c>
      <c r="N75" s="15">
        <v>2025</v>
      </c>
      <c r="O75" s="15">
        <v>18</v>
      </c>
      <c r="P75" s="15">
        <v>8</v>
      </c>
      <c r="Q75" s="15">
        <v>2201</v>
      </c>
      <c r="R75" s="15">
        <v>2218</v>
      </c>
      <c r="S75" s="15" t="s">
        <v>2656</v>
      </c>
      <c r="T75" s="15" t="str">
        <f>HYPERLINK("http://dx.doi.org/10.1007/s12273-025-1304-0","http://dx.doi.org/10.1007/s12273-025-1304-0")</f>
        <v>http://dx.doi.org/10.1007/s12273-025-1304-0</v>
      </c>
      <c r="U75" s="15" t="s">
        <v>2599</v>
      </c>
      <c r="V75" s="15" t="s">
        <v>2657</v>
      </c>
    </row>
    <row r="76" spans="1:22" x14ac:dyDescent="0.4">
      <c r="A76" s="15" t="s">
        <v>2658</v>
      </c>
      <c r="B76" s="15" t="s">
        <v>2659</v>
      </c>
      <c r="C76" s="15" t="s">
        <v>2660</v>
      </c>
      <c r="D76" s="15" t="s">
        <v>12</v>
      </c>
      <c r="E76" s="15" t="s">
        <v>262</v>
      </c>
      <c r="F76" s="15" t="s">
        <v>2661</v>
      </c>
      <c r="G76" s="15" t="s">
        <v>11</v>
      </c>
      <c r="H76" s="15" t="s">
        <v>2662</v>
      </c>
      <c r="I76" s="15" t="s">
        <v>2663</v>
      </c>
      <c r="J76" s="15" t="s">
        <v>2664</v>
      </c>
      <c r="K76" s="15" t="s">
        <v>2665</v>
      </c>
      <c r="L76" s="15" t="s">
        <v>2666</v>
      </c>
      <c r="M76" s="15" t="s">
        <v>19</v>
      </c>
      <c r="N76" s="15">
        <v>2025</v>
      </c>
      <c r="O76" s="15">
        <v>18</v>
      </c>
      <c r="P76" s="15">
        <v>8</v>
      </c>
      <c r="Q76" s="15">
        <v>2057</v>
      </c>
      <c r="R76" s="15">
        <v>2066</v>
      </c>
      <c r="S76" s="15" t="s">
        <v>2667</v>
      </c>
      <c r="T76" s="15" t="str">
        <f>HYPERLINK("http://dx.doi.org/10.1007/s12273-025-1299-6","http://dx.doi.org/10.1007/s12273-025-1299-6")</f>
        <v>http://dx.doi.org/10.1007/s12273-025-1299-6</v>
      </c>
      <c r="U76" s="15" t="s">
        <v>2599</v>
      </c>
      <c r="V76" s="15" t="s">
        <v>2668</v>
      </c>
    </row>
    <row r="77" spans="1:22" x14ac:dyDescent="0.4">
      <c r="A77" s="15" t="s">
        <v>2669</v>
      </c>
      <c r="B77" s="15" t="s">
        <v>2670</v>
      </c>
      <c r="C77" s="15" t="s">
        <v>2671</v>
      </c>
      <c r="D77" s="15" t="s">
        <v>12</v>
      </c>
      <c r="E77" s="15" t="s">
        <v>262</v>
      </c>
      <c r="F77" s="15" t="s">
        <v>2672</v>
      </c>
      <c r="G77" s="15" t="s">
        <v>2673</v>
      </c>
      <c r="H77" s="15" t="s">
        <v>2674</v>
      </c>
      <c r="I77" s="15" t="s">
        <v>2675</v>
      </c>
      <c r="J77" s="15" t="s">
        <v>2676</v>
      </c>
      <c r="K77" s="15" t="s">
        <v>2677</v>
      </c>
      <c r="L77" s="15" t="s">
        <v>2678</v>
      </c>
      <c r="M77" s="15" t="s">
        <v>22</v>
      </c>
      <c r="N77" s="15">
        <v>2025</v>
      </c>
      <c r="O77" s="15">
        <v>18</v>
      </c>
      <c r="P77" s="15">
        <v>6</v>
      </c>
      <c r="Q77" s="15">
        <v>1497</v>
      </c>
      <c r="R77" s="15">
        <v>1514</v>
      </c>
      <c r="S77" s="15" t="s">
        <v>2679</v>
      </c>
      <c r="T77" s="15" t="str">
        <f>HYPERLINK("http://dx.doi.org/10.1007/s12273-025-1308-9","http://dx.doi.org/10.1007/s12273-025-1308-9")</f>
        <v>http://dx.doi.org/10.1007/s12273-025-1308-9</v>
      </c>
      <c r="U77" s="15" t="s">
        <v>2599</v>
      </c>
      <c r="V77" s="15" t="s">
        <v>2680</v>
      </c>
    </row>
    <row r="78" spans="1:22" x14ac:dyDescent="0.4">
      <c r="A78" s="15" t="s">
        <v>2681</v>
      </c>
      <c r="B78" s="15" t="s">
        <v>2682</v>
      </c>
      <c r="C78" s="15" t="s">
        <v>2683</v>
      </c>
      <c r="D78" s="15" t="s">
        <v>12</v>
      </c>
      <c r="E78" s="15" t="s">
        <v>262</v>
      </c>
      <c r="F78" s="15" t="s">
        <v>2684</v>
      </c>
      <c r="G78" s="15" t="s">
        <v>11</v>
      </c>
      <c r="H78" s="15" t="s">
        <v>2685</v>
      </c>
      <c r="I78" s="15" t="s">
        <v>2686</v>
      </c>
      <c r="J78" s="15" t="s">
        <v>295</v>
      </c>
      <c r="K78" s="15" t="s">
        <v>1522</v>
      </c>
      <c r="L78" s="15" t="s">
        <v>1523</v>
      </c>
      <c r="M78" s="15" t="s">
        <v>22</v>
      </c>
      <c r="N78" s="15">
        <v>2025</v>
      </c>
      <c r="O78" s="15">
        <v>18</v>
      </c>
      <c r="P78" s="15">
        <v>6</v>
      </c>
      <c r="Q78" s="15">
        <v>1561</v>
      </c>
      <c r="R78" s="15">
        <v>1579</v>
      </c>
      <c r="S78" s="15" t="s">
        <v>2687</v>
      </c>
      <c r="T78" s="15" t="str">
        <f>HYPERLINK("http://dx.doi.org/10.1007/s12273-025-1290-2","http://dx.doi.org/10.1007/s12273-025-1290-2")</f>
        <v>http://dx.doi.org/10.1007/s12273-025-1290-2</v>
      </c>
      <c r="U78" s="15" t="s">
        <v>2599</v>
      </c>
      <c r="V78" s="15" t="s">
        <v>2688</v>
      </c>
    </row>
    <row r="79" spans="1:22" x14ac:dyDescent="0.4">
      <c r="A79" s="15" t="s">
        <v>2689</v>
      </c>
      <c r="B79" s="15" t="s">
        <v>2690</v>
      </c>
      <c r="C79" s="15" t="s">
        <v>2691</v>
      </c>
      <c r="D79" s="15" t="s">
        <v>12</v>
      </c>
      <c r="E79" s="15" t="s">
        <v>262</v>
      </c>
      <c r="F79" s="15" t="s">
        <v>2692</v>
      </c>
      <c r="G79" s="15" t="s">
        <v>2693</v>
      </c>
      <c r="H79" s="15" t="s">
        <v>2694</v>
      </c>
      <c r="I79" s="15" t="s">
        <v>2695</v>
      </c>
      <c r="J79" s="15" t="s">
        <v>303</v>
      </c>
      <c r="K79" s="15" t="s">
        <v>2696</v>
      </c>
      <c r="L79" s="15" t="s">
        <v>2697</v>
      </c>
      <c r="M79" s="15" t="s">
        <v>22</v>
      </c>
      <c r="N79" s="15">
        <v>2025</v>
      </c>
      <c r="O79" s="15">
        <v>18</v>
      </c>
      <c r="P79" s="15">
        <v>6</v>
      </c>
      <c r="Q79" s="15">
        <v>1543</v>
      </c>
      <c r="R79" s="15">
        <v>1559</v>
      </c>
      <c r="S79" s="15" t="s">
        <v>2698</v>
      </c>
      <c r="T79" s="15" t="str">
        <f>HYPERLINK("http://dx.doi.org/10.1007/s12273-025-1284-0","http://dx.doi.org/10.1007/s12273-025-1284-0")</f>
        <v>http://dx.doi.org/10.1007/s12273-025-1284-0</v>
      </c>
      <c r="U79" s="15" t="s">
        <v>2599</v>
      </c>
      <c r="V79" s="15" t="s">
        <v>2699</v>
      </c>
    </row>
    <row r="80" spans="1:22" x14ac:dyDescent="0.4">
      <c r="A80" s="15" t="s">
        <v>2700</v>
      </c>
      <c r="B80" s="15" t="s">
        <v>2701</v>
      </c>
      <c r="C80" s="15" t="s">
        <v>2702</v>
      </c>
      <c r="D80" s="15" t="s">
        <v>12</v>
      </c>
      <c r="E80" s="15" t="s">
        <v>262</v>
      </c>
      <c r="F80" s="15" t="s">
        <v>2703</v>
      </c>
      <c r="G80" s="15" t="s">
        <v>2704</v>
      </c>
      <c r="H80" s="15" t="s">
        <v>2705</v>
      </c>
      <c r="I80" s="15" t="s">
        <v>2706</v>
      </c>
      <c r="J80" s="15" t="s">
        <v>266</v>
      </c>
      <c r="K80" s="15" t="s">
        <v>308</v>
      </c>
      <c r="L80" s="15" t="s">
        <v>309</v>
      </c>
      <c r="M80" s="15" t="s">
        <v>20</v>
      </c>
      <c r="N80" s="15">
        <v>2025</v>
      </c>
      <c r="O80" s="15">
        <v>18</v>
      </c>
      <c r="P80" s="15">
        <v>7</v>
      </c>
      <c r="Q80" s="15">
        <v>1659</v>
      </c>
      <c r="R80" s="15">
        <v>1676</v>
      </c>
      <c r="S80" s="15" t="s">
        <v>2707</v>
      </c>
      <c r="T80" s="15" t="str">
        <f>HYPERLINK("http://dx.doi.org/10.1007/s12273-025-1272-4","http://dx.doi.org/10.1007/s12273-025-1272-4")</f>
        <v>http://dx.doi.org/10.1007/s12273-025-1272-4</v>
      </c>
      <c r="U80" s="15" t="s">
        <v>2599</v>
      </c>
      <c r="V80" s="15" t="s">
        <v>2708</v>
      </c>
    </row>
    <row r="81" spans="1:22" x14ac:dyDescent="0.4">
      <c r="A81" s="15" t="s">
        <v>2709</v>
      </c>
      <c r="B81" s="15" t="s">
        <v>2710</v>
      </c>
      <c r="C81" s="15" t="s">
        <v>2711</v>
      </c>
      <c r="D81" s="15" t="s">
        <v>12</v>
      </c>
      <c r="E81" s="15" t="s">
        <v>262</v>
      </c>
      <c r="F81" s="15" t="s">
        <v>2712</v>
      </c>
      <c r="G81" s="15" t="s">
        <v>2713</v>
      </c>
      <c r="H81" s="15" t="s">
        <v>2714</v>
      </c>
      <c r="I81" s="15" t="s">
        <v>2715</v>
      </c>
      <c r="J81" s="15" t="s">
        <v>2716</v>
      </c>
      <c r="K81" s="15" t="s">
        <v>2717</v>
      </c>
      <c r="L81" s="15" t="s">
        <v>2718</v>
      </c>
      <c r="M81" s="15" t="s">
        <v>20</v>
      </c>
      <c r="N81" s="15">
        <v>2025</v>
      </c>
      <c r="O81" s="15">
        <v>18</v>
      </c>
      <c r="P81" s="15">
        <v>7</v>
      </c>
      <c r="Q81" s="15">
        <v>1877</v>
      </c>
      <c r="R81" s="15">
        <v>1901</v>
      </c>
      <c r="S81" s="15" t="s">
        <v>2719</v>
      </c>
      <c r="T81" s="15" t="str">
        <f>HYPERLINK("http://dx.doi.org/10.1007/s12273-025-1293-z","http://dx.doi.org/10.1007/s12273-025-1293-z")</f>
        <v>http://dx.doi.org/10.1007/s12273-025-1293-z</v>
      </c>
      <c r="U81" s="15" t="s">
        <v>2599</v>
      </c>
      <c r="V81" s="15" t="s">
        <v>2720</v>
      </c>
    </row>
    <row r="82" spans="1:22" x14ac:dyDescent="0.4">
      <c r="A82" s="15" t="s">
        <v>2721</v>
      </c>
      <c r="B82" s="15" t="s">
        <v>2722</v>
      </c>
      <c r="C82" s="15" t="s">
        <v>2723</v>
      </c>
      <c r="D82" s="15" t="s">
        <v>12</v>
      </c>
      <c r="E82" s="15" t="s">
        <v>262</v>
      </c>
      <c r="F82" s="15" t="s">
        <v>2724</v>
      </c>
      <c r="G82" s="15" t="s">
        <v>2725</v>
      </c>
      <c r="H82" s="15" t="s">
        <v>2726</v>
      </c>
      <c r="I82" s="15" t="s">
        <v>2727</v>
      </c>
      <c r="J82" s="15" t="s">
        <v>2728</v>
      </c>
      <c r="K82" s="15" t="s">
        <v>2729</v>
      </c>
      <c r="L82" s="15" t="s">
        <v>2730</v>
      </c>
      <c r="M82" s="15" t="s">
        <v>19</v>
      </c>
      <c r="N82" s="15">
        <v>2025</v>
      </c>
      <c r="O82" s="15">
        <v>18</v>
      </c>
      <c r="P82" s="15">
        <v>8</v>
      </c>
      <c r="Q82" s="15">
        <v>2001</v>
      </c>
      <c r="R82" s="15">
        <v>2017</v>
      </c>
      <c r="S82" s="15" t="s">
        <v>2731</v>
      </c>
      <c r="T82" s="15" t="str">
        <f>HYPERLINK("http://dx.doi.org/10.1007/s12273-025-1302-2","http://dx.doi.org/10.1007/s12273-025-1302-2")</f>
        <v>http://dx.doi.org/10.1007/s12273-025-1302-2</v>
      </c>
      <c r="U82" s="15" t="s">
        <v>2599</v>
      </c>
      <c r="V82" s="15" t="s">
        <v>2732</v>
      </c>
    </row>
    <row r="83" spans="1:22" x14ac:dyDescent="0.4">
      <c r="A83" s="15" t="s">
        <v>2733</v>
      </c>
      <c r="B83" s="15" t="s">
        <v>2734</v>
      </c>
      <c r="C83" s="15" t="s">
        <v>2735</v>
      </c>
      <c r="D83" s="15" t="s">
        <v>12</v>
      </c>
      <c r="E83" s="15" t="s">
        <v>262</v>
      </c>
      <c r="F83" s="15" t="s">
        <v>2736</v>
      </c>
      <c r="G83" s="15" t="s">
        <v>2737</v>
      </c>
      <c r="H83" s="15" t="s">
        <v>2738</v>
      </c>
      <c r="I83" s="15" t="s">
        <v>2739</v>
      </c>
      <c r="J83" s="15" t="s">
        <v>2740</v>
      </c>
      <c r="K83" s="15" t="s">
        <v>2741</v>
      </c>
      <c r="L83" s="15" t="s">
        <v>2742</v>
      </c>
      <c r="M83" s="15" t="s">
        <v>22</v>
      </c>
      <c r="N83" s="15">
        <v>2025</v>
      </c>
      <c r="O83" s="15">
        <v>18</v>
      </c>
      <c r="P83" s="15">
        <v>6</v>
      </c>
      <c r="Q83" s="15">
        <v>1275</v>
      </c>
      <c r="R83" s="15">
        <v>1298</v>
      </c>
      <c r="S83" s="15" t="s">
        <v>2743</v>
      </c>
      <c r="T83" s="15" t="str">
        <f>HYPERLINK("http://dx.doi.org/10.1007/s12273-025-1256-4","http://dx.doi.org/10.1007/s12273-025-1256-4")</f>
        <v>http://dx.doi.org/10.1007/s12273-025-1256-4</v>
      </c>
      <c r="U83" s="15" t="s">
        <v>2599</v>
      </c>
      <c r="V83" s="15" t="s">
        <v>2744</v>
      </c>
    </row>
    <row r="84" spans="1:22" x14ac:dyDescent="0.4">
      <c r="A84" s="15" t="s">
        <v>2745</v>
      </c>
      <c r="B84" s="15" t="s">
        <v>2746</v>
      </c>
      <c r="C84" s="15" t="s">
        <v>2747</v>
      </c>
      <c r="D84" s="15" t="s">
        <v>12</v>
      </c>
      <c r="E84" s="15" t="s">
        <v>262</v>
      </c>
      <c r="F84" s="15" t="s">
        <v>2748</v>
      </c>
      <c r="G84" s="15" t="s">
        <v>2749</v>
      </c>
      <c r="H84" s="15" t="s">
        <v>2750</v>
      </c>
      <c r="I84" s="15" t="s">
        <v>2751</v>
      </c>
      <c r="J84" s="15" t="s">
        <v>2752</v>
      </c>
      <c r="K84" s="15" t="s">
        <v>2753</v>
      </c>
      <c r="L84" s="15" t="s">
        <v>2754</v>
      </c>
      <c r="M84" s="15" t="s">
        <v>20</v>
      </c>
      <c r="N84" s="15">
        <v>2025</v>
      </c>
      <c r="O84" s="15">
        <v>18</v>
      </c>
      <c r="P84" s="15">
        <v>7</v>
      </c>
      <c r="Q84" s="15">
        <v>1761</v>
      </c>
      <c r="R84" s="15">
        <v>1783</v>
      </c>
      <c r="S84" s="15" t="s">
        <v>2755</v>
      </c>
      <c r="T84" s="15" t="str">
        <f>HYPERLINK("http://dx.doi.org/10.1007/s12273-025-1294-y","http://dx.doi.org/10.1007/s12273-025-1294-y")</f>
        <v>http://dx.doi.org/10.1007/s12273-025-1294-y</v>
      </c>
      <c r="U84" s="15" t="s">
        <v>2756</v>
      </c>
      <c r="V84" s="15" t="s">
        <v>2757</v>
      </c>
    </row>
    <row r="85" spans="1:22" x14ac:dyDescent="0.4">
      <c r="A85" s="15" t="s">
        <v>2758</v>
      </c>
      <c r="B85" s="15" t="s">
        <v>2759</v>
      </c>
      <c r="C85" s="15" t="s">
        <v>2760</v>
      </c>
      <c r="D85" s="15" t="s">
        <v>12</v>
      </c>
      <c r="E85" s="15" t="s">
        <v>262</v>
      </c>
      <c r="F85" s="15" t="s">
        <v>2761</v>
      </c>
      <c r="G85" s="15" t="s">
        <v>2762</v>
      </c>
      <c r="H85" s="15" t="s">
        <v>2763</v>
      </c>
      <c r="I85" s="15" t="s">
        <v>2764</v>
      </c>
      <c r="J85" s="15" t="s">
        <v>2765</v>
      </c>
      <c r="K85" s="15" t="s">
        <v>2766</v>
      </c>
      <c r="L85" s="15" t="s">
        <v>300</v>
      </c>
      <c r="M85" s="15" t="s">
        <v>22</v>
      </c>
      <c r="N85" s="15">
        <v>2025</v>
      </c>
      <c r="O85" s="15">
        <v>18</v>
      </c>
      <c r="P85" s="15">
        <v>6</v>
      </c>
      <c r="Q85" s="15">
        <v>1337</v>
      </c>
      <c r="R85" s="15">
        <v>1354</v>
      </c>
      <c r="S85" s="15" t="s">
        <v>2767</v>
      </c>
      <c r="T85" s="15" t="str">
        <f>HYPERLINK("http://dx.doi.org/10.1007/s12273-025-1266-2","http://dx.doi.org/10.1007/s12273-025-1266-2")</f>
        <v>http://dx.doi.org/10.1007/s12273-025-1266-2</v>
      </c>
      <c r="U85" s="15" t="s">
        <v>2756</v>
      </c>
      <c r="V85" s="15" t="s">
        <v>2768</v>
      </c>
    </row>
    <row r="86" spans="1:22" x14ac:dyDescent="0.4">
      <c r="A86" s="15" t="s">
        <v>2769</v>
      </c>
      <c r="B86" s="15" t="s">
        <v>2770</v>
      </c>
      <c r="C86" s="15" t="s">
        <v>2771</v>
      </c>
      <c r="D86" s="15" t="s">
        <v>12</v>
      </c>
      <c r="E86" s="15" t="s">
        <v>262</v>
      </c>
      <c r="F86" s="15" t="s">
        <v>2772</v>
      </c>
      <c r="G86" s="15" t="s">
        <v>2773</v>
      </c>
      <c r="H86" s="15" t="s">
        <v>2774</v>
      </c>
      <c r="I86" s="15" t="s">
        <v>2775</v>
      </c>
      <c r="J86" s="15" t="s">
        <v>2776</v>
      </c>
      <c r="K86" s="15" t="s">
        <v>2777</v>
      </c>
      <c r="L86" s="15" t="s">
        <v>2778</v>
      </c>
      <c r="M86" s="15" t="s">
        <v>20</v>
      </c>
      <c r="N86" s="15">
        <v>2025</v>
      </c>
      <c r="O86" s="15">
        <v>18</v>
      </c>
      <c r="P86" s="15">
        <v>7</v>
      </c>
      <c r="Q86" s="15">
        <v>1697</v>
      </c>
      <c r="R86" s="15">
        <v>1716</v>
      </c>
      <c r="S86" s="15" t="s">
        <v>2779</v>
      </c>
      <c r="T86" s="15" t="str">
        <f>HYPERLINK("http://dx.doi.org/10.1007/s12273-025-1288-9","http://dx.doi.org/10.1007/s12273-025-1288-9")</f>
        <v>http://dx.doi.org/10.1007/s12273-025-1288-9</v>
      </c>
      <c r="U86" s="15" t="s">
        <v>2756</v>
      </c>
      <c r="V86" s="15" t="s">
        <v>2780</v>
      </c>
    </row>
    <row r="87" spans="1:22" x14ac:dyDescent="0.4">
      <c r="A87" s="15" t="s">
        <v>2781</v>
      </c>
      <c r="B87" s="15" t="s">
        <v>2782</v>
      </c>
      <c r="C87" s="15" t="s">
        <v>2783</v>
      </c>
      <c r="D87" s="15" t="s">
        <v>12</v>
      </c>
      <c r="E87" s="15" t="s">
        <v>262</v>
      </c>
      <c r="F87" s="15" t="s">
        <v>2784</v>
      </c>
      <c r="G87" s="15" t="s">
        <v>2785</v>
      </c>
      <c r="H87" s="15" t="s">
        <v>2786</v>
      </c>
      <c r="I87" s="15" t="s">
        <v>2787</v>
      </c>
      <c r="J87" s="15" t="s">
        <v>2788</v>
      </c>
      <c r="K87" s="15" t="s">
        <v>2789</v>
      </c>
      <c r="L87" s="15" t="s">
        <v>2790</v>
      </c>
      <c r="M87" s="15" t="s">
        <v>22</v>
      </c>
      <c r="N87" s="15">
        <v>2025</v>
      </c>
      <c r="O87" s="15">
        <v>18</v>
      </c>
      <c r="P87" s="15">
        <v>6</v>
      </c>
      <c r="Q87" s="15">
        <v>1409</v>
      </c>
      <c r="R87" s="15">
        <v>1433</v>
      </c>
      <c r="S87" s="15" t="s">
        <v>2791</v>
      </c>
      <c r="T87" s="15" t="str">
        <f>HYPERLINK("http://dx.doi.org/10.1007/s12273-025-1262-6","http://dx.doi.org/10.1007/s12273-025-1262-6")</f>
        <v>http://dx.doi.org/10.1007/s12273-025-1262-6</v>
      </c>
      <c r="U87" s="15" t="s">
        <v>2756</v>
      </c>
      <c r="V87" s="15" t="s">
        <v>2792</v>
      </c>
    </row>
    <row r="88" spans="1:22" x14ac:dyDescent="0.4">
      <c r="A88" s="15" t="s">
        <v>2793</v>
      </c>
      <c r="B88" s="15" t="s">
        <v>2794</v>
      </c>
      <c r="C88" s="15" t="s">
        <v>2795</v>
      </c>
      <c r="D88" s="15" t="s">
        <v>12</v>
      </c>
      <c r="E88" s="15" t="s">
        <v>262</v>
      </c>
      <c r="F88" s="15" t="s">
        <v>2796</v>
      </c>
      <c r="G88" s="15" t="s">
        <v>2797</v>
      </c>
      <c r="H88" s="15" t="s">
        <v>2798</v>
      </c>
      <c r="I88" s="15" t="s">
        <v>2799</v>
      </c>
      <c r="J88" s="15" t="s">
        <v>2800</v>
      </c>
      <c r="K88" s="15" t="s">
        <v>2801</v>
      </c>
      <c r="L88" s="15" t="s">
        <v>2802</v>
      </c>
      <c r="M88" s="15" t="s">
        <v>22</v>
      </c>
      <c r="N88" s="15">
        <v>2025</v>
      </c>
      <c r="O88" s="15">
        <v>18</v>
      </c>
      <c r="P88" s="15">
        <v>6</v>
      </c>
      <c r="Q88" s="15">
        <v>1515</v>
      </c>
      <c r="R88" s="15">
        <v>1542</v>
      </c>
      <c r="S88" s="15" t="s">
        <v>2803</v>
      </c>
      <c r="T88" s="15" t="str">
        <f>HYPERLINK("http://dx.doi.org/10.1007/s12273-025-1267-1","http://dx.doi.org/10.1007/s12273-025-1267-1")</f>
        <v>http://dx.doi.org/10.1007/s12273-025-1267-1</v>
      </c>
      <c r="U88" s="15" t="s">
        <v>2756</v>
      </c>
      <c r="V88" s="15" t="s">
        <v>2804</v>
      </c>
    </row>
    <row r="89" spans="1:22" x14ac:dyDescent="0.4">
      <c r="A89" s="15" t="s">
        <v>2805</v>
      </c>
      <c r="B89" s="15" t="s">
        <v>2806</v>
      </c>
      <c r="C89" s="15" t="s">
        <v>2807</v>
      </c>
      <c r="D89" s="15" t="s">
        <v>12</v>
      </c>
      <c r="E89" s="15" t="s">
        <v>262</v>
      </c>
      <c r="F89" s="15" t="s">
        <v>2808</v>
      </c>
      <c r="G89" s="15" t="s">
        <v>2809</v>
      </c>
      <c r="H89" s="15" t="s">
        <v>2810</v>
      </c>
      <c r="I89" s="15" t="s">
        <v>2811</v>
      </c>
      <c r="J89" s="15" t="s">
        <v>2812</v>
      </c>
      <c r="K89" s="15" t="s">
        <v>2813</v>
      </c>
      <c r="L89" s="15" t="s">
        <v>2814</v>
      </c>
      <c r="M89" s="15" t="s">
        <v>21</v>
      </c>
      <c r="N89" s="15">
        <v>2025</v>
      </c>
      <c r="O89" s="15">
        <v>18</v>
      </c>
      <c r="P89" s="15">
        <v>5</v>
      </c>
      <c r="Q89" s="15">
        <v>1143</v>
      </c>
      <c r="R89" s="15">
        <v>1162</v>
      </c>
      <c r="S89" s="15" t="s">
        <v>2815</v>
      </c>
      <c r="T89" s="15" t="str">
        <f>HYPERLINK("http://dx.doi.org/10.1007/s12273-025-1291-1","http://dx.doi.org/10.1007/s12273-025-1291-1")</f>
        <v>http://dx.doi.org/10.1007/s12273-025-1291-1</v>
      </c>
      <c r="U89" s="15" t="s">
        <v>2756</v>
      </c>
      <c r="V89" s="15" t="s">
        <v>2816</v>
      </c>
    </row>
    <row r="90" spans="1:22" x14ac:dyDescent="0.4">
      <c r="A90" s="15" t="s">
        <v>2817</v>
      </c>
      <c r="B90" s="15" t="s">
        <v>2818</v>
      </c>
      <c r="C90" s="15" t="s">
        <v>2819</v>
      </c>
      <c r="D90" s="15" t="s">
        <v>12</v>
      </c>
      <c r="E90" s="15" t="s">
        <v>262</v>
      </c>
      <c r="F90" s="15" t="s">
        <v>2820</v>
      </c>
      <c r="G90" s="15" t="s">
        <v>13</v>
      </c>
      <c r="H90" s="15" t="s">
        <v>2821</v>
      </c>
      <c r="I90" s="15" t="s">
        <v>2822</v>
      </c>
      <c r="J90" s="15" t="s">
        <v>2823</v>
      </c>
      <c r="K90" s="15" t="s">
        <v>2824</v>
      </c>
      <c r="L90" s="15" t="s">
        <v>2825</v>
      </c>
      <c r="M90" s="15" t="s">
        <v>20</v>
      </c>
      <c r="N90" s="15">
        <v>2025</v>
      </c>
      <c r="O90" s="15">
        <v>18</v>
      </c>
      <c r="P90" s="15">
        <v>7</v>
      </c>
      <c r="Q90" s="15">
        <v>1717</v>
      </c>
      <c r="R90" s="15">
        <v>1726</v>
      </c>
      <c r="S90" s="15" t="s">
        <v>2826</v>
      </c>
      <c r="T90" s="15" t="str">
        <f>HYPERLINK("http://dx.doi.org/10.1007/s12273-025-1289-8","http://dx.doi.org/10.1007/s12273-025-1289-8")</f>
        <v>http://dx.doi.org/10.1007/s12273-025-1289-8</v>
      </c>
      <c r="U90" s="15" t="s">
        <v>2756</v>
      </c>
      <c r="V90" s="15" t="s">
        <v>2827</v>
      </c>
    </row>
    <row r="91" spans="1:22" x14ac:dyDescent="0.4">
      <c r="A91" s="15" t="s">
        <v>2828</v>
      </c>
      <c r="B91" s="15" t="s">
        <v>2829</v>
      </c>
      <c r="C91" s="15" t="s">
        <v>2830</v>
      </c>
      <c r="D91" s="15" t="s">
        <v>12</v>
      </c>
      <c r="E91" s="15" t="s">
        <v>262</v>
      </c>
      <c r="F91" s="15" t="s">
        <v>2831</v>
      </c>
      <c r="G91" s="15" t="s">
        <v>2832</v>
      </c>
      <c r="H91" s="15" t="s">
        <v>2833</v>
      </c>
      <c r="I91" s="15" t="s">
        <v>2834</v>
      </c>
      <c r="J91" s="15" t="s">
        <v>2835</v>
      </c>
      <c r="K91" s="15" t="s">
        <v>2836</v>
      </c>
      <c r="L91" s="15" t="s">
        <v>2837</v>
      </c>
      <c r="M91" s="15" t="s">
        <v>22</v>
      </c>
      <c r="N91" s="15">
        <v>2025</v>
      </c>
      <c r="O91" s="15">
        <v>18</v>
      </c>
      <c r="P91" s="15">
        <v>6</v>
      </c>
      <c r="Q91" s="15">
        <v>1467</v>
      </c>
      <c r="R91" s="15">
        <v>1482</v>
      </c>
      <c r="S91" s="15" t="s">
        <v>2838</v>
      </c>
      <c r="T91" s="15" t="str">
        <f>HYPERLINK("http://dx.doi.org/10.1007/s12273-025-1292-0","http://dx.doi.org/10.1007/s12273-025-1292-0")</f>
        <v>http://dx.doi.org/10.1007/s12273-025-1292-0</v>
      </c>
      <c r="U91" s="15" t="s">
        <v>2756</v>
      </c>
      <c r="V91" s="15" t="s">
        <v>2839</v>
      </c>
    </row>
    <row r="92" spans="1:22" x14ac:dyDescent="0.4">
      <c r="A92" s="15" t="s">
        <v>2840</v>
      </c>
      <c r="B92" s="15" t="s">
        <v>2841</v>
      </c>
      <c r="C92" s="15" t="s">
        <v>2842</v>
      </c>
      <c r="D92" s="15" t="s">
        <v>12</v>
      </c>
      <c r="E92" s="15" t="s">
        <v>262</v>
      </c>
      <c r="F92" s="15" t="s">
        <v>2843</v>
      </c>
      <c r="G92" s="15" t="s">
        <v>2844</v>
      </c>
      <c r="H92" s="15" t="s">
        <v>2845</v>
      </c>
      <c r="I92" s="15" t="s">
        <v>2846</v>
      </c>
      <c r="J92" s="15" t="s">
        <v>2847</v>
      </c>
      <c r="K92" s="15" t="s">
        <v>2848</v>
      </c>
      <c r="L92" s="15" t="s">
        <v>852</v>
      </c>
      <c r="M92" s="15" t="s">
        <v>21</v>
      </c>
      <c r="N92" s="15">
        <v>2025</v>
      </c>
      <c r="O92" s="15">
        <v>18</v>
      </c>
      <c r="P92" s="15">
        <v>5</v>
      </c>
      <c r="Q92" s="15">
        <v>1205</v>
      </c>
      <c r="R92" s="15">
        <v>1228</v>
      </c>
      <c r="S92" s="15" t="s">
        <v>2849</v>
      </c>
      <c r="T92" s="15" t="str">
        <f>HYPERLINK("http://dx.doi.org/10.1007/s12273-025-1254-6","http://dx.doi.org/10.1007/s12273-025-1254-6")</f>
        <v>http://dx.doi.org/10.1007/s12273-025-1254-6</v>
      </c>
      <c r="U92" s="15" t="s">
        <v>11</v>
      </c>
      <c r="V92" s="15" t="s">
        <v>2850</v>
      </c>
    </row>
    <row r="93" spans="1:22" x14ac:dyDescent="0.4">
      <c r="A93" s="15" t="s">
        <v>2851</v>
      </c>
      <c r="B93" s="15" t="s">
        <v>2852</v>
      </c>
      <c r="C93" s="15" t="s">
        <v>2853</v>
      </c>
      <c r="D93" s="15" t="s">
        <v>12</v>
      </c>
      <c r="E93" s="15" t="s">
        <v>262</v>
      </c>
      <c r="F93" s="15" t="s">
        <v>2854</v>
      </c>
      <c r="G93" s="15" t="s">
        <v>2855</v>
      </c>
      <c r="H93" s="15" t="s">
        <v>2856</v>
      </c>
      <c r="I93" s="15" t="s">
        <v>2857</v>
      </c>
      <c r="J93" s="15" t="s">
        <v>283</v>
      </c>
      <c r="K93" s="15" t="s">
        <v>2858</v>
      </c>
      <c r="L93" s="15" t="s">
        <v>2859</v>
      </c>
      <c r="M93" s="15" t="s">
        <v>20</v>
      </c>
      <c r="N93" s="15">
        <v>2025</v>
      </c>
      <c r="O93" s="15">
        <v>18</v>
      </c>
      <c r="P93" s="15">
        <v>7</v>
      </c>
      <c r="Q93" s="15">
        <v>1819</v>
      </c>
      <c r="R93" s="15">
        <v>1836</v>
      </c>
      <c r="S93" s="15" t="s">
        <v>2860</v>
      </c>
      <c r="T93" s="15" t="str">
        <f>HYPERLINK("http://dx.doi.org/10.1007/s12273-025-1286-y","http://dx.doi.org/10.1007/s12273-025-1286-y")</f>
        <v>http://dx.doi.org/10.1007/s12273-025-1286-y</v>
      </c>
      <c r="U93" s="15" t="s">
        <v>2861</v>
      </c>
      <c r="V93" s="15" t="s">
        <v>2862</v>
      </c>
    </row>
    <row r="94" spans="1:22" x14ac:dyDescent="0.4">
      <c r="A94" s="15" t="s">
        <v>2863</v>
      </c>
      <c r="B94" s="15" t="s">
        <v>2864</v>
      </c>
      <c r="C94" s="15" t="s">
        <v>2865</v>
      </c>
      <c r="D94" s="15" t="s">
        <v>12</v>
      </c>
      <c r="E94" s="15" t="s">
        <v>262</v>
      </c>
      <c r="F94" s="15" t="s">
        <v>2866</v>
      </c>
      <c r="G94" s="15" t="s">
        <v>2867</v>
      </c>
      <c r="H94" s="15" t="s">
        <v>2868</v>
      </c>
      <c r="I94" s="15" t="s">
        <v>2869</v>
      </c>
      <c r="J94" s="15" t="s">
        <v>2870</v>
      </c>
      <c r="K94" s="15" t="s">
        <v>2871</v>
      </c>
      <c r="L94" s="15" t="s">
        <v>711</v>
      </c>
      <c r="M94" s="15" t="s">
        <v>21</v>
      </c>
      <c r="N94" s="15">
        <v>2025</v>
      </c>
      <c r="O94" s="15">
        <v>18</v>
      </c>
      <c r="P94" s="15">
        <v>5</v>
      </c>
      <c r="Q94" s="15">
        <v>1179</v>
      </c>
      <c r="R94" s="15">
        <v>1204</v>
      </c>
      <c r="S94" s="15" t="s">
        <v>2872</v>
      </c>
      <c r="T94" s="15" t="str">
        <f>HYPERLINK("http://dx.doi.org/10.1007/s12273-025-1253-7","http://dx.doi.org/10.1007/s12273-025-1253-7")</f>
        <v>http://dx.doi.org/10.1007/s12273-025-1253-7</v>
      </c>
      <c r="U94" s="15" t="s">
        <v>2861</v>
      </c>
      <c r="V94" s="15" t="s">
        <v>2873</v>
      </c>
    </row>
    <row r="95" spans="1:22" x14ac:dyDescent="0.4">
      <c r="A95" s="15" t="s">
        <v>2874</v>
      </c>
      <c r="B95" s="15" t="s">
        <v>2875</v>
      </c>
      <c r="C95" s="15" t="s">
        <v>2876</v>
      </c>
      <c r="D95" s="15" t="s">
        <v>12</v>
      </c>
      <c r="E95" s="15" t="s">
        <v>262</v>
      </c>
      <c r="F95" s="15" t="s">
        <v>2877</v>
      </c>
      <c r="G95" s="15" t="s">
        <v>2878</v>
      </c>
      <c r="H95" s="15" t="s">
        <v>2879</v>
      </c>
      <c r="I95" s="15" t="s">
        <v>2880</v>
      </c>
      <c r="J95" s="15" t="s">
        <v>392</v>
      </c>
      <c r="K95" s="15" t="s">
        <v>2881</v>
      </c>
      <c r="L95" s="15" t="s">
        <v>2882</v>
      </c>
      <c r="M95" s="15" t="s">
        <v>20</v>
      </c>
      <c r="N95" s="15">
        <v>2025</v>
      </c>
      <c r="O95" s="15">
        <v>18</v>
      </c>
      <c r="P95" s="15">
        <v>7</v>
      </c>
      <c r="Q95" s="15">
        <v>1611</v>
      </c>
      <c r="R95" s="15">
        <v>1639</v>
      </c>
      <c r="S95" s="15" t="s">
        <v>2883</v>
      </c>
      <c r="T95" s="15" t="str">
        <f>HYPERLINK("http://dx.doi.org/10.1007/s12273-025-1277-z","http://dx.doi.org/10.1007/s12273-025-1277-z")</f>
        <v>http://dx.doi.org/10.1007/s12273-025-1277-z</v>
      </c>
      <c r="U95" s="15" t="s">
        <v>2861</v>
      </c>
      <c r="V95" s="15" t="s">
        <v>2884</v>
      </c>
    </row>
    <row r="96" spans="1:22" x14ac:dyDescent="0.4">
      <c r="A96" s="15" t="s">
        <v>2885</v>
      </c>
      <c r="B96" s="15" t="s">
        <v>2886</v>
      </c>
      <c r="C96" s="15" t="s">
        <v>2887</v>
      </c>
      <c r="D96" s="15" t="s">
        <v>12</v>
      </c>
      <c r="E96" s="15" t="s">
        <v>262</v>
      </c>
      <c r="F96" s="15" t="s">
        <v>2888</v>
      </c>
      <c r="G96" s="15" t="s">
        <v>11</v>
      </c>
      <c r="H96" s="15" t="s">
        <v>2889</v>
      </c>
      <c r="I96" s="15" t="s">
        <v>2890</v>
      </c>
      <c r="J96" s="15" t="s">
        <v>2891</v>
      </c>
      <c r="K96" s="15" t="s">
        <v>2892</v>
      </c>
      <c r="L96" s="15" t="s">
        <v>2893</v>
      </c>
      <c r="M96" s="15" t="s">
        <v>22</v>
      </c>
      <c r="N96" s="15">
        <v>2025</v>
      </c>
      <c r="O96" s="15">
        <v>18</v>
      </c>
      <c r="P96" s="15">
        <v>6</v>
      </c>
      <c r="Q96" s="15">
        <v>1393</v>
      </c>
      <c r="R96" s="15">
        <v>1407</v>
      </c>
      <c r="S96" s="15" t="s">
        <v>2894</v>
      </c>
      <c r="T96" s="15" t="str">
        <f>HYPERLINK("http://dx.doi.org/10.1007/s12273-025-1282-2","http://dx.doi.org/10.1007/s12273-025-1282-2")</f>
        <v>http://dx.doi.org/10.1007/s12273-025-1282-2</v>
      </c>
      <c r="U96" s="15" t="s">
        <v>2861</v>
      </c>
      <c r="V96" s="15" t="s">
        <v>2895</v>
      </c>
    </row>
    <row r="97" spans="1:22" x14ac:dyDescent="0.4">
      <c r="A97" s="15" t="s">
        <v>2896</v>
      </c>
      <c r="B97" s="15" t="s">
        <v>2897</v>
      </c>
      <c r="C97" s="15" t="s">
        <v>2898</v>
      </c>
      <c r="D97" s="15" t="s">
        <v>12</v>
      </c>
      <c r="E97" s="15" t="s">
        <v>262</v>
      </c>
      <c r="F97" s="15" t="s">
        <v>2899</v>
      </c>
      <c r="G97" s="15" t="s">
        <v>2900</v>
      </c>
      <c r="H97" s="15" t="s">
        <v>2901</v>
      </c>
      <c r="I97" s="15" t="s">
        <v>2902</v>
      </c>
      <c r="J97" s="15" t="s">
        <v>2903</v>
      </c>
      <c r="K97" s="15" t="s">
        <v>2904</v>
      </c>
      <c r="L97" s="15" t="s">
        <v>321</v>
      </c>
      <c r="M97" s="15" t="s">
        <v>22</v>
      </c>
      <c r="N97" s="15">
        <v>2025</v>
      </c>
      <c r="O97" s="15">
        <v>18</v>
      </c>
      <c r="P97" s="15">
        <v>6</v>
      </c>
      <c r="Q97" s="15">
        <v>1355</v>
      </c>
      <c r="R97" s="15">
        <v>1376</v>
      </c>
      <c r="S97" s="15" t="s">
        <v>2905</v>
      </c>
      <c r="T97" s="15" t="str">
        <f>HYPERLINK("http://dx.doi.org/10.1007/s12273-025-1270-6","http://dx.doi.org/10.1007/s12273-025-1270-6")</f>
        <v>http://dx.doi.org/10.1007/s12273-025-1270-6</v>
      </c>
      <c r="U97" s="15" t="s">
        <v>2861</v>
      </c>
      <c r="V97" s="15" t="s">
        <v>2906</v>
      </c>
    </row>
    <row r="98" spans="1:22" x14ac:dyDescent="0.4">
      <c r="A98" s="15" t="s">
        <v>2907</v>
      </c>
      <c r="B98" s="15" t="s">
        <v>2908</v>
      </c>
      <c r="C98" s="15" t="s">
        <v>2909</v>
      </c>
      <c r="D98" s="15" t="s">
        <v>12</v>
      </c>
      <c r="E98" s="15" t="s">
        <v>262</v>
      </c>
      <c r="F98" s="15" t="s">
        <v>2910</v>
      </c>
      <c r="G98" s="15" t="s">
        <v>2911</v>
      </c>
      <c r="H98" s="15" t="s">
        <v>2912</v>
      </c>
      <c r="I98" s="15" t="s">
        <v>2913</v>
      </c>
      <c r="J98" s="15" t="s">
        <v>2914</v>
      </c>
      <c r="K98" s="15" t="s">
        <v>1548</v>
      </c>
      <c r="L98" s="15" t="s">
        <v>1549</v>
      </c>
      <c r="M98" s="15" t="s">
        <v>20</v>
      </c>
      <c r="N98" s="15">
        <v>2025</v>
      </c>
      <c r="O98" s="15">
        <v>18</v>
      </c>
      <c r="P98" s="15">
        <v>7</v>
      </c>
      <c r="Q98" s="15">
        <v>1743</v>
      </c>
      <c r="R98" s="15">
        <v>1760</v>
      </c>
      <c r="S98" s="15" t="s">
        <v>2915</v>
      </c>
      <c r="T98" s="15" t="str">
        <f>HYPERLINK("http://dx.doi.org/10.1007/s12273-025-1285-z","http://dx.doi.org/10.1007/s12273-025-1285-z")</f>
        <v>http://dx.doi.org/10.1007/s12273-025-1285-z</v>
      </c>
      <c r="U98" s="15" t="s">
        <v>2861</v>
      </c>
      <c r="V98" s="15" t="s">
        <v>2916</v>
      </c>
    </row>
    <row r="99" spans="1:22" x14ac:dyDescent="0.4">
      <c r="A99" s="15" t="s">
        <v>2917</v>
      </c>
      <c r="B99" s="15" t="s">
        <v>2918</v>
      </c>
      <c r="C99" s="15" t="s">
        <v>2919</v>
      </c>
      <c r="D99" s="15" t="s">
        <v>12</v>
      </c>
      <c r="E99" s="15" t="s">
        <v>262</v>
      </c>
      <c r="F99" s="15" t="s">
        <v>2920</v>
      </c>
      <c r="G99" s="15" t="s">
        <v>11</v>
      </c>
      <c r="H99" s="15" t="s">
        <v>2921</v>
      </c>
      <c r="I99" s="15" t="s">
        <v>2922</v>
      </c>
      <c r="J99" s="15" t="s">
        <v>2923</v>
      </c>
      <c r="K99" s="15" t="s">
        <v>2924</v>
      </c>
      <c r="L99" s="15" t="s">
        <v>2925</v>
      </c>
      <c r="M99" s="15" t="s">
        <v>22</v>
      </c>
      <c r="N99" s="15">
        <v>2025</v>
      </c>
      <c r="O99" s="15">
        <v>18</v>
      </c>
      <c r="P99" s="15">
        <v>6</v>
      </c>
      <c r="Q99" s="15">
        <v>1377</v>
      </c>
      <c r="R99" s="15">
        <v>1392</v>
      </c>
      <c r="S99" s="15" t="s">
        <v>2926</v>
      </c>
      <c r="T99" s="15" t="str">
        <f>HYPERLINK("http://dx.doi.org/10.1007/s12273-025-1271-5","http://dx.doi.org/10.1007/s12273-025-1271-5")</f>
        <v>http://dx.doi.org/10.1007/s12273-025-1271-5</v>
      </c>
      <c r="U99" s="15" t="s">
        <v>2861</v>
      </c>
      <c r="V99" s="15" t="s">
        <v>2927</v>
      </c>
    </row>
    <row r="100" spans="1:22" x14ac:dyDescent="0.4">
      <c r="A100" s="15" t="s">
        <v>2928</v>
      </c>
      <c r="B100" s="15" t="s">
        <v>2929</v>
      </c>
      <c r="C100" s="15" t="s">
        <v>2930</v>
      </c>
      <c r="D100" s="15" t="s">
        <v>12</v>
      </c>
      <c r="E100" s="15" t="s">
        <v>262</v>
      </c>
      <c r="F100" s="15" t="s">
        <v>2931</v>
      </c>
      <c r="G100" s="15" t="s">
        <v>2932</v>
      </c>
      <c r="H100" s="15" t="s">
        <v>2933</v>
      </c>
      <c r="I100" s="15" t="s">
        <v>2934</v>
      </c>
      <c r="J100" s="15" t="s">
        <v>2935</v>
      </c>
      <c r="K100" s="15" t="s">
        <v>2936</v>
      </c>
      <c r="L100" s="15" t="s">
        <v>2937</v>
      </c>
      <c r="M100" s="15" t="s">
        <v>22</v>
      </c>
      <c r="N100" s="15">
        <v>2025</v>
      </c>
      <c r="O100" s="15">
        <v>18</v>
      </c>
      <c r="P100" s="15">
        <v>6</v>
      </c>
      <c r="Q100" s="15">
        <v>1483</v>
      </c>
      <c r="R100" s="15">
        <v>1496</v>
      </c>
      <c r="S100" s="15" t="s">
        <v>2938</v>
      </c>
      <c r="T100" s="15" t="str">
        <f>HYPERLINK("http://dx.doi.org/10.1007/s12273-025-1274-2","http://dx.doi.org/10.1007/s12273-025-1274-2")</f>
        <v>http://dx.doi.org/10.1007/s12273-025-1274-2</v>
      </c>
      <c r="U100" s="15" t="s">
        <v>2861</v>
      </c>
      <c r="V100" s="15" t="s">
        <v>2939</v>
      </c>
    </row>
    <row r="101" spans="1:22" x14ac:dyDescent="0.4">
      <c r="A101" s="15" t="s">
        <v>2940</v>
      </c>
      <c r="B101" s="15" t="s">
        <v>2941</v>
      </c>
      <c r="C101" s="15" t="s">
        <v>2942</v>
      </c>
      <c r="D101" s="15" t="s">
        <v>12</v>
      </c>
      <c r="E101" s="15" t="s">
        <v>262</v>
      </c>
      <c r="F101" s="15" t="s">
        <v>2943</v>
      </c>
      <c r="G101" s="15" t="s">
        <v>2944</v>
      </c>
      <c r="H101" s="15" t="s">
        <v>2945</v>
      </c>
      <c r="I101" s="15" t="s">
        <v>2946</v>
      </c>
      <c r="J101" s="15" t="s">
        <v>2947</v>
      </c>
      <c r="K101" s="15" t="s">
        <v>2948</v>
      </c>
      <c r="L101" s="15" t="s">
        <v>2949</v>
      </c>
      <c r="M101" s="15" t="s">
        <v>21</v>
      </c>
      <c r="N101" s="15">
        <v>2025</v>
      </c>
      <c r="O101" s="15">
        <v>18</v>
      </c>
      <c r="P101" s="15">
        <v>5</v>
      </c>
      <c r="Q101" s="15">
        <v>1019</v>
      </c>
      <c r="R101" s="15">
        <v>1042</v>
      </c>
      <c r="S101" s="15" t="s">
        <v>2950</v>
      </c>
      <c r="T101" s="15" t="str">
        <f>HYPERLINK("http://dx.doi.org/10.1007/s12273-025-1240-z","http://dx.doi.org/10.1007/s12273-025-1240-z")</f>
        <v>http://dx.doi.org/10.1007/s12273-025-1240-z</v>
      </c>
      <c r="U101" s="15" t="s">
        <v>2861</v>
      </c>
      <c r="V101" s="15" t="s">
        <v>2951</v>
      </c>
    </row>
    <row r="102" spans="1:22" x14ac:dyDescent="0.4">
      <c r="A102" s="15" t="s">
        <v>2952</v>
      </c>
      <c r="B102" s="15" t="s">
        <v>2953</v>
      </c>
      <c r="C102" s="15" t="s">
        <v>2954</v>
      </c>
      <c r="D102" s="15" t="s">
        <v>12</v>
      </c>
      <c r="E102" s="15" t="s">
        <v>262</v>
      </c>
      <c r="F102" s="15" t="s">
        <v>2955</v>
      </c>
      <c r="G102" s="15" t="s">
        <v>2956</v>
      </c>
      <c r="H102" s="15" t="s">
        <v>2957</v>
      </c>
      <c r="I102" s="15" t="s">
        <v>2958</v>
      </c>
      <c r="J102" s="15" t="s">
        <v>2959</v>
      </c>
      <c r="K102" s="15" t="s">
        <v>2960</v>
      </c>
      <c r="L102" s="15" t="s">
        <v>2961</v>
      </c>
      <c r="M102" s="15" t="s">
        <v>20</v>
      </c>
      <c r="N102" s="15">
        <v>2025</v>
      </c>
      <c r="O102" s="15">
        <v>18</v>
      </c>
      <c r="P102" s="15">
        <v>7</v>
      </c>
      <c r="Q102" s="15">
        <v>1857</v>
      </c>
      <c r="R102" s="15">
        <v>1876</v>
      </c>
      <c r="S102" s="15" t="s">
        <v>2962</v>
      </c>
      <c r="T102" s="15" t="str">
        <f>HYPERLINK("http://dx.doi.org/10.1007/s12273-025-1275-1","http://dx.doi.org/10.1007/s12273-025-1275-1")</f>
        <v>http://dx.doi.org/10.1007/s12273-025-1275-1</v>
      </c>
      <c r="U102" s="15" t="s">
        <v>2861</v>
      </c>
      <c r="V102" s="15" t="s">
        <v>2963</v>
      </c>
    </row>
    <row r="103" spans="1:22" x14ac:dyDescent="0.4">
      <c r="A103" s="15" t="s">
        <v>2964</v>
      </c>
      <c r="B103" s="15" t="s">
        <v>2965</v>
      </c>
      <c r="C103" s="15" t="s">
        <v>2966</v>
      </c>
      <c r="D103" s="15" t="s">
        <v>12</v>
      </c>
      <c r="E103" s="15" t="s">
        <v>262</v>
      </c>
      <c r="F103" s="15" t="s">
        <v>2967</v>
      </c>
      <c r="G103" s="15" t="s">
        <v>2968</v>
      </c>
      <c r="H103" s="15" t="s">
        <v>2969</v>
      </c>
      <c r="I103" s="15" t="s">
        <v>2970</v>
      </c>
      <c r="J103" s="15" t="s">
        <v>2971</v>
      </c>
      <c r="K103" s="15" t="s">
        <v>2972</v>
      </c>
      <c r="L103" s="15" t="s">
        <v>2973</v>
      </c>
      <c r="M103" s="15" t="s">
        <v>20</v>
      </c>
      <c r="N103" s="15">
        <v>2025</v>
      </c>
      <c r="O103" s="15">
        <v>18</v>
      </c>
      <c r="P103" s="15">
        <v>7</v>
      </c>
      <c r="Q103" s="15">
        <v>1837</v>
      </c>
      <c r="R103" s="15">
        <v>1856</v>
      </c>
      <c r="S103" s="15" t="s">
        <v>2974</v>
      </c>
      <c r="T103" s="15" t="str">
        <f>HYPERLINK("http://dx.doi.org/10.1007/s12273-025-1269-z","http://dx.doi.org/10.1007/s12273-025-1269-z")</f>
        <v>http://dx.doi.org/10.1007/s12273-025-1269-z</v>
      </c>
      <c r="U103" s="15" t="s">
        <v>2861</v>
      </c>
      <c r="V103" s="15" t="s">
        <v>2975</v>
      </c>
    </row>
    <row r="104" spans="1:22" x14ac:dyDescent="0.4">
      <c r="A104" s="15" t="s">
        <v>2976</v>
      </c>
      <c r="B104" s="15" t="s">
        <v>2977</v>
      </c>
      <c r="C104" s="15" t="s">
        <v>2978</v>
      </c>
      <c r="D104" s="15" t="s">
        <v>12</v>
      </c>
      <c r="E104" s="15" t="s">
        <v>262</v>
      </c>
      <c r="F104" s="15" t="s">
        <v>2979</v>
      </c>
      <c r="G104" s="15" t="s">
        <v>2980</v>
      </c>
      <c r="H104" s="15" t="s">
        <v>2981</v>
      </c>
      <c r="I104" s="15" t="s">
        <v>2982</v>
      </c>
      <c r="J104" s="15" t="s">
        <v>2983</v>
      </c>
      <c r="K104" s="15" t="s">
        <v>2984</v>
      </c>
      <c r="L104" s="15" t="s">
        <v>1817</v>
      </c>
      <c r="M104" s="15" t="s">
        <v>20</v>
      </c>
      <c r="N104" s="15">
        <v>2025</v>
      </c>
      <c r="O104" s="15">
        <v>18</v>
      </c>
      <c r="P104" s="15">
        <v>7</v>
      </c>
      <c r="Q104" s="15">
        <v>1641</v>
      </c>
      <c r="R104" s="15">
        <v>1657</v>
      </c>
      <c r="S104" s="15" t="s">
        <v>2985</v>
      </c>
      <c r="T104" s="15" t="str">
        <f>HYPERLINK("http://dx.doi.org/10.1007/s12273-025-1268-0","http://dx.doi.org/10.1007/s12273-025-1268-0")</f>
        <v>http://dx.doi.org/10.1007/s12273-025-1268-0</v>
      </c>
      <c r="U104" s="15" t="s">
        <v>2861</v>
      </c>
      <c r="V104" s="15" t="s">
        <v>2986</v>
      </c>
    </row>
    <row r="105" spans="1:22" x14ac:dyDescent="0.4">
      <c r="A105" s="15" t="s">
        <v>2987</v>
      </c>
      <c r="B105" s="15" t="s">
        <v>2988</v>
      </c>
      <c r="C105" s="15" t="s">
        <v>2989</v>
      </c>
      <c r="D105" s="15" t="s">
        <v>12</v>
      </c>
      <c r="E105" s="15" t="s">
        <v>262</v>
      </c>
      <c r="F105" s="15" t="s">
        <v>2990</v>
      </c>
      <c r="G105" s="15" t="s">
        <v>2991</v>
      </c>
      <c r="H105" s="15" t="s">
        <v>2992</v>
      </c>
      <c r="I105" s="15" t="s">
        <v>2993</v>
      </c>
      <c r="J105" s="15" t="s">
        <v>2994</v>
      </c>
      <c r="K105" s="15" t="s">
        <v>986</v>
      </c>
      <c r="L105" s="15" t="s">
        <v>987</v>
      </c>
      <c r="M105" s="15" t="s">
        <v>22</v>
      </c>
      <c r="N105" s="15">
        <v>2025</v>
      </c>
      <c r="O105" s="15">
        <v>18</v>
      </c>
      <c r="P105" s="15">
        <v>6</v>
      </c>
      <c r="Q105" s="15">
        <v>1453</v>
      </c>
      <c r="R105" s="15">
        <v>1466</v>
      </c>
      <c r="S105" s="15" t="s">
        <v>2995</v>
      </c>
      <c r="T105" s="15" t="str">
        <f>HYPERLINK("http://dx.doi.org/10.1007/s12273-025-1276-0","http://dx.doi.org/10.1007/s12273-025-1276-0")</f>
        <v>http://dx.doi.org/10.1007/s12273-025-1276-0</v>
      </c>
      <c r="U105" s="15" t="s">
        <v>2861</v>
      </c>
      <c r="V105" s="15" t="s">
        <v>2996</v>
      </c>
    </row>
    <row r="106" spans="1:22" x14ac:dyDescent="0.4">
      <c r="A106" s="15" t="s">
        <v>2997</v>
      </c>
      <c r="B106" s="15" t="s">
        <v>2998</v>
      </c>
      <c r="C106" s="15" t="s">
        <v>2999</v>
      </c>
      <c r="D106" s="15" t="s">
        <v>12</v>
      </c>
      <c r="E106" s="15" t="s">
        <v>262</v>
      </c>
      <c r="F106" s="15" t="s">
        <v>3000</v>
      </c>
      <c r="G106" s="15" t="s">
        <v>3001</v>
      </c>
      <c r="H106" s="15" t="s">
        <v>3002</v>
      </c>
      <c r="I106" s="15" t="s">
        <v>3003</v>
      </c>
      <c r="J106" s="15" t="s">
        <v>3004</v>
      </c>
      <c r="K106" s="15" t="s">
        <v>3005</v>
      </c>
      <c r="L106" s="15" t="s">
        <v>3006</v>
      </c>
      <c r="M106" s="15" t="s">
        <v>21</v>
      </c>
      <c r="N106" s="15">
        <v>2025</v>
      </c>
      <c r="O106" s="15">
        <v>18</v>
      </c>
      <c r="P106" s="15">
        <v>5</v>
      </c>
      <c r="Q106" s="15">
        <v>1043</v>
      </c>
      <c r="R106" s="15">
        <v>1063</v>
      </c>
      <c r="S106" s="15" t="s">
        <v>3007</v>
      </c>
      <c r="T106" s="15" t="str">
        <f>HYPERLINK("http://dx.doi.org/10.1007/s12273-025-1247-5","http://dx.doi.org/10.1007/s12273-025-1247-5")</f>
        <v>http://dx.doi.org/10.1007/s12273-025-1247-5</v>
      </c>
      <c r="U106" s="15" t="s">
        <v>2861</v>
      </c>
      <c r="V106" s="15" t="s">
        <v>3008</v>
      </c>
    </row>
    <row r="107" spans="1:22" x14ac:dyDescent="0.4">
      <c r="A107" s="15" t="s">
        <v>3009</v>
      </c>
      <c r="B107" s="15" t="s">
        <v>3010</v>
      </c>
      <c r="C107" s="15" t="s">
        <v>3011</v>
      </c>
      <c r="D107" s="15" t="s">
        <v>12</v>
      </c>
      <c r="E107" s="15" t="s">
        <v>262</v>
      </c>
      <c r="F107" s="15" t="s">
        <v>3012</v>
      </c>
      <c r="G107" s="15" t="s">
        <v>3013</v>
      </c>
      <c r="H107" s="15" t="s">
        <v>3014</v>
      </c>
      <c r="I107" s="15" t="s">
        <v>3015</v>
      </c>
      <c r="J107" s="15" t="s">
        <v>284</v>
      </c>
      <c r="K107" s="15" t="s">
        <v>285</v>
      </c>
      <c r="L107" s="15" t="s">
        <v>286</v>
      </c>
      <c r="M107" s="15" t="s">
        <v>22</v>
      </c>
      <c r="N107" s="15">
        <v>2025</v>
      </c>
      <c r="O107" s="15">
        <v>18</v>
      </c>
      <c r="P107" s="15">
        <v>6</v>
      </c>
      <c r="Q107" s="15">
        <v>1435</v>
      </c>
      <c r="R107" s="15">
        <v>1451</v>
      </c>
      <c r="S107" s="15" t="s">
        <v>3016</v>
      </c>
      <c r="T107" s="15" t="str">
        <f>HYPERLINK("http://dx.doi.org/10.1007/s12273-025-1263-5","http://dx.doi.org/10.1007/s12273-025-1263-5")</f>
        <v>http://dx.doi.org/10.1007/s12273-025-1263-5</v>
      </c>
      <c r="U107" s="15" t="s">
        <v>2861</v>
      </c>
      <c r="V107" s="15" t="s">
        <v>3017</v>
      </c>
    </row>
    <row r="108" spans="1:22" x14ac:dyDescent="0.4">
      <c r="A108" s="15" t="s">
        <v>3018</v>
      </c>
      <c r="B108" s="15" t="s">
        <v>3019</v>
      </c>
      <c r="C108" s="15" t="s">
        <v>3020</v>
      </c>
      <c r="D108" s="15" t="s">
        <v>12</v>
      </c>
      <c r="E108" s="15" t="s">
        <v>262</v>
      </c>
      <c r="F108" s="15" t="s">
        <v>3021</v>
      </c>
      <c r="G108" s="15" t="s">
        <v>3022</v>
      </c>
      <c r="H108" s="15" t="s">
        <v>3023</v>
      </c>
      <c r="I108" s="15" t="s">
        <v>3024</v>
      </c>
      <c r="J108" s="15" t="s">
        <v>3025</v>
      </c>
      <c r="K108" s="15" t="s">
        <v>3026</v>
      </c>
      <c r="L108" s="15" t="s">
        <v>3027</v>
      </c>
      <c r="M108" s="15" t="s">
        <v>22</v>
      </c>
      <c r="N108" s="15">
        <v>2025</v>
      </c>
      <c r="O108" s="15">
        <v>18</v>
      </c>
      <c r="P108" s="15">
        <v>6</v>
      </c>
      <c r="Q108" s="15">
        <v>1231</v>
      </c>
      <c r="R108" s="15">
        <v>1250</v>
      </c>
      <c r="S108" s="15" t="s">
        <v>3028</v>
      </c>
      <c r="T108" s="15" t="str">
        <f>HYPERLINK("http://dx.doi.org/10.1007/s12273-025-1261-7","http://dx.doi.org/10.1007/s12273-025-1261-7")</f>
        <v>http://dx.doi.org/10.1007/s12273-025-1261-7</v>
      </c>
      <c r="U108" s="15" t="s">
        <v>2861</v>
      </c>
      <c r="V108" s="15" t="s">
        <v>3029</v>
      </c>
    </row>
    <row r="109" spans="1:22" x14ac:dyDescent="0.4">
      <c r="A109" s="15" t="s">
        <v>3030</v>
      </c>
      <c r="B109" s="15" t="s">
        <v>3031</v>
      </c>
      <c r="C109" s="15" t="s">
        <v>3032</v>
      </c>
      <c r="D109" s="15" t="s">
        <v>12</v>
      </c>
      <c r="E109" s="15" t="s">
        <v>262</v>
      </c>
      <c r="F109" s="15" t="s">
        <v>3033</v>
      </c>
      <c r="G109" s="15" t="s">
        <v>3034</v>
      </c>
      <c r="H109" s="15" t="s">
        <v>3035</v>
      </c>
      <c r="I109" s="15" t="s">
        <v>3036</v>
      </c>
      <c r="J109" s="15" t="s">
        <v>1306</v>
      </c>
      <c r="K109" s="15" t="s">
        <v>3037</v>
      </c>
      <c r="L109" s="15" t="s">
        <v>2368</v>
      </c>
      <c r="M109" s="15" t="s">
        <v>22</v>
      </c>
      <c r="N109" s="15">
        <v>2025</v>
      </c>
      <c r="O109" s="15">
        <v>18</v>
      </c>
      <c r="P109" s="15">
        <v>6</v>
      </c>
      <c r="Q109" s="15">
        <v>1317</v>
      </c>
      <c r="R109" s="15">
        <v>1336</v>
      </c>
      <c r="S109" s="15" t="s">
        <v>3038</v>
      </c>
      <c r="T109" s="15" t="str">
        <f>HYPERLINK("http://dx.doi.org/10.1007/s12273-025-1264-4","http://dx.doi.org/10.1007/s12273-025-1264-4")</f>
        <v>http://dx.doi.org/10.1007/s12273-025-1264-4</v>
      </c>
      <c r="U109" s="15" t="s">
        <v>3039</v>
      </c>
      <c r="V109" s="15" t="s">
        <v>3040</v>
      </c>
    </row>
    <row r="110" spans="1:22" x14ac:dyDescent="0.4">
      <c r="A110" s="15" t="s">
        <v>3041</v>
      </c>
      <c r="B110" s="15" t="s">
        <v>3042</v>
      </c>
      <c r="C110" s="15" t="s">
        <v>3043</v>
      </c>
      <c r="D110" s="15" t="s">
        <v>12</v>
      </c>
      <c r="E110" s="15" t="s">
        <v>262</v>
      </c>
      <c r="F110" s="15" t="s">
        <v>3044</v>
      </c>
      <c r="G110" s="15" t="s">
        <v>3045</v>
      </c>
      <c r="H110" s="15" t="s">
        <v>3046</v>
      </c>
      <c r="I110" s="15" t="s">
        <v>3047</v>
      </c>
      <c r="J110" s="15" t="s">
        <v>3048</v>
      </c>
      <c r="K110" s="15" t="s">
        <v>3049</v>
      </c>
      <c r="L110" s="15" t="s">
        <v>3050</v>
      </c>
      <c r="M110" s="15" t="s">
        <v>21</v>
      </c>
      <c r="N110" s="15">
        <v>2025</v>
      </c>
      <c r="O110" s="15">
        <v>18</v>
      </c>
      <c r="P110" s="15">
        <v>5</v>
      </c>
      <c r="Q110" s="15">
        <v>957</v>
      </c>
      <c r="R110" s="15">
        <v>977</v>
      </c>
      <c r="S110" s="15" t="s">
        <v>3051</v>
      </c>
      <c r="T110" s="15" t="str">
        <f>HYPERLINK("http://dx.doi.org/10.1007/s12273-025-1265-3","http://dx.doi.org/10.1007/s12273-025-1265-3")</f>
        <v>http://dx.doi.org/10.1007/s12273-025-1265-3</v>
      </c>
      <c r="U110" s="15" t="s">
        <v>3039</v>
      </c>
      <c r="V110" s="15" t="s">
        <v>3052</v>
      </c>
    </row>
    <row r="111" spans="1:22" x14ac:dyDescent="0.4">
      <c r="A111" s="15" t="s">
        <v>3053</v>
      </c>
      <c r="B111" s="15" t="s">
        <v>3054</v>
      </c>
      <c r="C111" s="15" t="s">
        <v>3055</v>
      </c>
      <c r="D111" s="15" t="s">
        <v>12</v>
      </c>
      <c r="E111" s="15" t="s">
        <v>262</v>
      </c>
      <c r="F111" s="15" t="s">
        <v>3056</v>
      </c>
      <c r="G111" s="15" t="s">
        <v>3057</v>
      </c>
      <c r="H111" s="15" t="s">
        <v>3058</v>
      </c>
      <c r="I111" s="15" t="s">
        <v>3059</v>
      </c>
      <c r="J111" s="15" t="s">
        <v>3060</v>
      </c>
      <c r="K111" s="15" t="s">
        <v>3061</v>
      </c>
      <c r="L111" s="15" t="s">
        <v>3062</v>
      </c>
      <c r="M111" s="15" t="s">
        <v>23</v>
      </c>
      <c r="N111" s="15">
        <v>2025</v>
      </c>
      <c r="O111" s="15">
        <v>18</v>
      </c>
      <c r="P111" s="15">
        <v>4</v>
      </c>
      <c r="Q111" s="15">
        <v>791</v>
      </c>
      <c r="R111" s="15">
        <v>827</v>
      </c>
      <c r="S111" s="15" t="s">
        <v>3063</v>
      </c>
      <c r="T111" s="15" t="str">
        <f>HYPERLINK("http://dx.doi.org/10.1007/s12273-025-1238-6","http://dx.doi.org/10.1007/s12273-025-1238-6")</f>
        <v>http://dx.doi.org/10.1007/s12273-025-1238-6</v>
      </c>
      <c r="U111" s="15" t="s">
        <v>3039</v>
      </c>
      <c r="V111" s="15" t="s">
        <v>3064</v>
      </c>
    </row>
    <row r="112" spans="1:22" x14ac:dyDescent="0.4">
      <c r="A112" s="15" t="s">
        <v>3065</v>
      </c>
      <c r="B112" s="15" t="s">
        <v>3066</v>
      </c>
      <c r="C112" s="15" t="s">
        <v>3067</v>
      </c>
      <c r="D112" s="15" t="s">
        <v>12</v>
      </c>
      <c r="E112" s="15" t="s">
        <v>262</v>
      </c>
      <c r="F112" s="15" t="s">
        <v>3068</v>
      </c>
      <c r="G112" s="15" t="s">
        <v>3069</v>
      </c>
      <c r="H112" s="15" t="s">
        <v>3070</v>
      </c>
      <c r="I112" s="15" t="s">
        <v>3071</v>
      </c>
      <c r="J112" s="15" t="s">
        <v>2947</v>
      </c>
      <c r="K112" s="15" t="s">
        <v>3072</v>
      </c>
      <c r="L112" s="15" t="s">
        <v>3073</v>
      </c>
      <c r="M112" s="15" t="s">
        <v>22</v>
      </c>
      <c r="N112" s="15">
        <v>2025</v>
      </c>
      <c r="O112" s="15">
        <v>18</v>
      </c>
      <c r="P112" s="15">
        <v>6</v>
      </c>
      <c r="Q112" s="15">
        <v>1299</v>
      </c>
      <c r="R112" s="15">
        <v>1316</v>
      </c>
      <c r="S112" s="15" t="s">
        <v>3074</v>
      </c>
      <c r="T112" s="15" t="str">
        <f>HYPERLINK("http://dx.doi.org/10.1007/s12273-025-1259-1","http://dx.doi.org/10.1007/s12273-025-1259-1")</f>
        <v>http://dx.doi.org/10.1007/s12273-025-1259-1</v>
      </c>
      <c r="U112" s="15" t="s">
        <v>3039</v>
      </c>
      <c r="V112" s="15" t="s">
        <v>3075</v>
      </c>
    </row>
    <row r="113" spans="1:22" x14ac:dyDescent="0.4">
      <c r="A113" s="15" t="s">
        <v>3076</v>
      </c>
      <c r="B113" s="15" t="s">
        <v>3077</v>
      </c>
      <c r="C113" s="15" t="s">
        <v>3078</v>
      </c>
      <c r="D113" s="15" t="s">
        <v>12</v>
      </c>
      <c r="E113" s="15" t="s">
        <v>262</v>
      </c>
      <c r="F113" s="15" t="s">
        <v>3079</v>
      </c>
      <c r="G113" s="15" t="s">
        <v>3080</v>
      </c>
      <c r="H113" s="15" t="s">
        <v>3081</v>
      </c>
      <c r="I113" s="15" t="s">
        <v>3082</v>
      </c>
      <c r="J113" s="15" t="s">
        <v>3083</v>
      </c>
      <c r="K113" s="15" t="s">
        <v>3084</v>
      </c>
      <c r="L113" s="15" t="s">
        <v>3085</v>
      </c>
      <c r="M113" s="15" t="s">
        <v>21</v>
      </c>
      <c r="N113" s="15">
        <v>2025</v>
      </c>
      <c r="O113" s="15">
        <v>18</v>
      </c>
      <c r="P113" s="15">
        <v>5</v>
      </c>
      <c r="Q113" s="15">
        <v>1121</v>
      </c>
      <c r="R113" s="15">
        <v>1142</v>
      </c>
      <c r="S113" s="15" t="s">
        <v>3086</v>
      </c>
      <c r="T113" s="15" t="str">
        <f>HYPERLINK("http://dx.doi.org/10.1007/s12273-025-1258-2","http://dx.doi.org/10.1007/s12273-025-1258-2")</f>
        <v>http://dx.doi.org/10.1007/s12273-025-1258-2</v>
      </c>
      <c r="U113" s="15" t="s">
        <v>3039</v>
      </c>
      <c r="V113" s="15" t="s">
        <v>3087</v>
      </c>
    </row>
    <row r="114" spans="1:22" x14ac:dyDescent="0.4">
      <c r="A114" s="15" t="s">
        <v>3088</v>
      </c>
      <c r="B114" s="15" t="s">
        <v>3089</v>
      </c>
      <c r="C114" s="15" t="s">
        <v>3090</v>
      </c>
      <c r="D114" s="15" t="s">
        <v>12</v>
      </c>
      <c r="E114" s="15" t="s">
        <v>262</v>
      </c>
      <c r="F114" s="15" t="s">
        <v>3091</v>
      </c>
      <c r="G114" s="15" t="s">
        <v>3092</v>
      </c>
      <c r="H114" s="15" t="s">
        <v>3093</v>
      </c>
      <c r="I114" s="15" t="s">
        <v>3094</v>
      </c>
      <c r="J114" s="15" t="s">
        <v>3095</v>
      </c>
      <c r="K114" s="15" t="s">
        <v>3096</v>
      </c>
      <c r="L114" s="15" t="s">
        <v>3097</v>
      </c>
      <c r="M114" s="15" t="s">
        <v>21</v>
      </c>
      <c r="N114" s="15">
        <v>2025</v>
      </c>
      <c r="O114" s="15">
        <v>18</v>
      </c>
      <c r="P114" s="15">
        <v>5</v>
      </c>
      <c r="Q114" s="15">
        <v>999</v>
      </c>
      <c r="R114" s="15">
        <v>1017</v>
      </c>
      <c r="S114" s="15" t="s">
        <v>3098</v>
      </c>
      <c r="T114" s="15" t="str">
        <f>HYPERLINK("http://dx.doi.org/10.1007/s12273-025-1255-5","http://dx.doi.org/10.1007/s12273-025-1255-5")</f>
        <v>http://dx.doi.org/10.1007/s12273-025-1255-5</v>
      </c>
      <c r="U114" s="15" t="s">
        <v>3039</v>
      </c>
      <c r="V114" s="15" t="s">
        <v>3099</v>
      </c>
    </row>
    <row r="115" spans="1:22" x14ac:dyDescent="0.4">
      <c r="A115" s="15" t="s">
        <v>3100</v>
      </c>
      <c r="B115" s="15" t="s">
        <v>3101</v>
      </c>
      <c r="C115" s="15" t="s">
        <v>3102</v>
      </c>
      <c r="D115" s="15" t="s">
        <v>12</v>
      </c>
      <c r="E115" s="15" t="s">
        <v>262</v>
      </c>
      <c r="F115" s="15" t="s">
        <v>3103</v>
      </c>
      <c r="G115" s="15" t="s">
        <v>3104</v>
      </c>
      <c r="H115" s="15" t="s">
        <v>3105</v>
      </c>
      <c r="I115" s="15" t="s">
        <v>3106</v>
      </c>
      <c r="J115" s="15" t="s">
        <v>3107</v>
      </c>
      <c r="K115" s="15" t="s">
        <v>3108</v>
      </c>
      <c r="L115" s="15" t="s">
        <v>3109</v>
      </c>
      <c r="M115" s="15" t="s">
        <v>21</v>
      </c>
      <c r="N115" s="15">
        <v>2025</v>
      </c>
      <c r="O115" s="15">
        <v>18</v>
      </c>
      <c r="P115" s="15">
        <v>5</v>
      </c>
      <c r="Q115" s="15">
        <v>1103</v>
      </c>
      <c r="R115" s="15">
        <v>1119</v>
      </c>
      <c r="S115" s="15" t="s">
        <v>3110</v>
      </c>
      <c r="T115" s="15" t="str">
        <f>HYPERLINK("http://dx.doi.org/10.1007/s12273-025-1257-3","http://dx.doi.org/10.1007/s12273-025-1257-3")</f>
        <v>http://dx.doi.org/10.1007/s12273-025-1257-3</v>
      </c>
      <c r="U115" s="15" t="s">
        <v>3039</v>
      </c>
      <c r="V115" s="15" t="s">
        <v>3111</v>
      </c>
    </row>
    <row r="116" spans="1:22" x14ac:dyDescent="0.4">
      <c r="A116" s="15" t="s">
        <v>3112</v>
      </c>
      <c r="B116" s="15" t="s">
        <v>3113</v>
      </c>
      <c r="C116" s="15" t="s">
        <v>3114</v>
      </c>
      <c r="D116" s="15" t="s">
        <v>12</v>
      </c>
      <c r="E116" s="15" t="s">
        <v>262</v>
      </c>
      <c r="F116" s="15" t="s">
        <v>3115</v>
      </c>
      <c r="G116" s="15" t="s">
        <v>3116</v>
      </c>
      <c r="H116" s="15" t="s">
        <v>3117</v>
      </c>
      <c r="I116" s="15" t="s">
        <v>3118</v>
      </c>
      <c r="J116" s="15" t="s">
        <v>3119</v>
      </c>
      <c r="K116" s="15" t="s">
        <v>3120</v>
      </c>
      <c r="L116" s="15" t="s">
        <v>3121</v>
      </c>
      <c r="M116" s="15" t="s">
        <v>21</v>
      </c>
      <c r="N116" s="15">
        <v>2025</v>
      </c>
      <c r="O116" s="15">
        <v>18</v>
      </c>
      <c r="P116" s="15">
        <v>5</v>
      </c>
      <c r="Q116" s="15">
        <v>1087</v>
      </c>
      <c r="R116" s="15">
        <v>1101</v>
      </c>
      <c r="S116" s="15" t="s">
        <v>3122</v>
      </c>
      <c r="T116" s="15" t="str">
        <f>HYPERLINK("http://dx.doi.org/10.1007/s12273-025-1252-8","http://dx.doi.org/10.1007/s12273-025-1252-8")</f>
        <v>http://dx.doi.org/10.1007/s12273-025-1252-8</v>
      </c>
      <c r="U116" s="15" t="s">
        <v>3039</v>
      </c>
      <c r="V116" s="15" t="s">
        <v>3123</v>
      </c>
    </row>
    <row r="117" spans="1:22" x14ac:dyDescent="0.4">
      <c r="A117" s="15" t="s">
        <v>3124</v>
      </c>
      <c r="B117" s="15" t="s">
        <v>3125</v>
      </c>
      <c r="C117" s="15" t="s">
        <v>3126</v>
      </c>
      <c r="D117" s="15" t="s">
        <v>12</v>
      </c>
      <c r="E117" s="15" t="s">
        <v>262</v>
      </c>
      <c r="F117" s="15" t="s">
        <v>3127</v>
      </c>
      <c r="G117" s="15" t="s">
        <v>3128</v>
      </c>
      <c r="H117" s="15" t="s">
        <v>3129</v>
      </c>
      <c r="I117" s="15" t="s">
        <v>3130</v>
      </c>
      <c r="J117" s="15" t="s">
        <v>282</v>
      </c>
      <c r="K117" s="15" t="s">
        <v>3131</v>
      </c>
      <c r="L117" s="15" t="s">
        <v>293</v>
      </c>
      <c r="M117" s="15" t="s">
        <v>21</v>
      </c>
      <c r="N117" s="15">
        <v>2025</v>
      </c>
      <c r="O117" s="15">
        <v>18</v>
      </c>
      <c r="P117" s="15">
        <v>5</v>
      </c>
      <c r="Q117" s="15">
        <v>1065</v>
      </c>
      <c r="R117" s="15">
        <v>1085</v>
      </c>
      <c r="S117" s="15" t="s">
        <v>3132</v>
      </c>
      <c r="T117" s="15" t="str">
        <f>HYPERLINK("http://dx.doi.org/10.1007/s12273-025-1251-9","http://dx.doi.org/10.1007/s12273-025-1251-9")</f>
        <v>http://dx.doi.org/10.1007/s12273-025-1251-9</v>
      </c>
      <c r="U117" s="15" t="s">
        <v>3039</v>
      </c>
      <c r="V117" s="15" t="s">
        <v>3133</v>
      </c>
    </row>
    <row r="118" spans="1:22" x14ac:dyDescent="0.4">
      <c r="A118" s="15" t="s">
        <v>3134</v>
      </c>
      <c r="B118" s="15" t="s">
        <v>3135</v>
      </c>
      <c r="C118" s="15" t="s">
        <v>3136</v>
      </c>
      <c r="D118" s="15" t="s">
        <v>12</v>
      </c>
      <c r="E118" s="15" t="s">
        <v>262</v>
      </c>
      <c r="F118" s="15" t="s">
        <v>3137</v>
      </c>
      <c r="G118" s="15" t="s">
        <v>3138</v>
      </c>
      <c r="H118" s="15" t="s">
        <v>3139</v>
      </c>
      <c r="I118" s="15" t="s">
        <v>3140</v>
      </c>
      <c r="J118" s="15" t="s">
        <v>1306</v>
      </c>
      <c r="K118" s="15" t="s">
        <v>3141</v>
      </c>
      <c r="L118" s="15" t="s">
        <v>3142</v>
      </c>
      <c r="M118" s="15" t="s">
        <v>23</v>
      </c>
      <c r="N118" s="15">
        <v>2025</v>
      </c>
      <c r="O118" s="15">
        <v>18</v>
      </c>
      <c r="P118" s="15">
        <v>4</v>
      </c>
      <c r="Q118" s="15">
        <v>765</v>
      </c>
      <c r="R118" s="15">
        <v>789</v>
      </c>
      <c r="S118" s="15" t="s">
        <v>3143</v>
      </c>
      <c r="T118" s="15" t="str">
        <f>HYPERLINK("http://dx.doi.org/10.1007/s12273-025-1233-y","http://dx.doi.org/10.1007/s12273-025-1233-y")</f>
        <v>http://dx.doi.org/10.1007/s12273-025-1233-y</v>
      </c>
      <c r="U118" s="15" t="s">
        <v>3039</v>
      </c>
      <c r="V118" s="15" t="s">
        <v>3144</v>
      </c>
    </row>
    <row r="119" spans="1:22" x14ac:dyDescent="0.4">
      <c r="A119" s="15" t="s">
        <v>3145</v>
      </c>
      <c r="B119" s="15" t="s">
        <v>3146</v>
      </c>
      <c r="C119" s="15" t="s">
        <v>3147</v>
      </c>
      <c r="D119" s="15" t="s">
        <v>12</v>
      </c>
      <c r="E119" s="15" t="s">
        <v>262</v>
      </c>
      <c r="F119" s="15" t="s">
        <v>3148</v>
      </c>
      <c r="G119" s="15" t="s">
        <v>3149</v>
      </c>
      <c r="H119" s="15" t="s">
        <v>3150</v>
      </c>
      <c r="I119" s="15" t="s">
        <v>3151</v>
      </c>
      <c r="J119" s="15" t="s">
        <v>3152</v>
      </c>
      <c r="K119" s="15" t="s">
        <v>3153</v>
      </c>
      <c r="L119" s="15" t="s">
        <v>267</v>
      </c>
      <c r="M119" s="15" t="s">
        <v>23</v>
      </c>
      <c r="N119" s="15">
        <v>2025</v>
      </c>
      <c r="O119" s="15">
        <v>18</v>
      </c>
      <c r="P119" s="15">
        <v>4</v>
      </c>
      <c r="Q119" s="15">
        <v>937</v>
      </c>
      <c r="R119" s="15">
        <v>955</v>
      </c>
      <c r="S119" s="15" t="s">
        <v>3154</v>
      </c>
      <c r="T119" s="15" t="str">
        <f>HYPERLINK("http://dx.doi.org/10.1007/s12273-025-1244-8","http://dx.doi.org/10.1007/s12273-025-1244-8")</f>
        <v>http://dx.doi.org/10.1007/s12273-025-1244-8</v>
      </c>
      <c r="U119" s="15" t="s">
        <v>3039</v>
      </c>
      <c r="V119" s="15" t="s">
        <v>3155</v>
      </c>
    </row>
    <row r="120" spans="1:22" x14ac:dyDescent="0.4">
      <c r="A120" s="15" t="s">
        <v>3156</v>
      </c>
      <c r="B120" s="15" t="s">
        <v>3157</v>
      </c>
      <c r="C120" s="15" t="s">
        <v>3158</v>
      </c>
      <c r="D120" s="15" t="s">
        <v>12</v>
      </c>
      <c r="E120" s="15" t="s">
        <v>262</v>
      </c>
      <c r="F120" s="15" t="s">
        <v>3159</v>
      </c>
      <c r="G120" s="15" t="s">
        <v>3160</v>
      </c>
      <c r="H120" s="15" t="s">
        <v>3161</v>
      </c>
      <c r="I120" s="15" t="s">
        <v>3162</v>
      </c>
      <c r="J120" s="15" t="s">
        <v>3163</v>
      </c>
      <c r="K120" s="15" t="s">
        <v>2332</v>
      </c>
      <c r="L120" s="15" t="s">
        <v>2333</v>
      </c>
      <c r="M120" s="15" t="s">
        <v>23</v>
      </c>
      <c r="N120" s="15">
        <v>2025</v>
      </c>
      <c r="O120" s="15">
        <v>18</v>
      </c>
      <c r="P120" s="15">
        <v>4</v>
      </c>
      <c r="Q120" s="15">
        <v>699</v>
      </c>
      <c r="R120" s="15">
        <v>720</v>
      </c>
      <c r="S120" s="15" t="s">
        <v>3164</v>
      </c>
      <c r="T120" s="15" t="str">
        <f>HYPERLINK("http://dx.doi.org/10.1007/s12273-025-1246-6","http://dx.doi.org/10.1007/s12273-025-1246-6")</f>
        <v>http://dx.doi.org/10.1007/s12273-025-1246-6</v>
      </c>
      <c r="U120" s="15" t="s">
        <v>3039</v>
      </c>
      <c r="V120" s="15" t="s">
        <v>3165</v>
      </c>
    </row>
    <row r="121" spans="1:22" x14ac:dyDescent="0.4">
      <c r="A121" s="15" t="s">
        <v>3166</v>
      </c>
      <c r="B121" s="15" t="s">
        <v>3167</v>
      </c>
      <c r="C121" s="15" t="s">
        <v>3168</v>
      </c>
      <c r="D121" s="15" t="s">
        <v>12</v>
      </c>
      <c r="E121" s="15" t="s">
        <v>262</v>
      </c>
      <c r="F121" s="15" t="s">
        <v>3169</v>
      </c>
      <c r="G121" s="15" t="s">
        <v>3170</v>
      </c>
      <c r="H121" s="15" t="s">
        <v>3171</v>
      </c>
      <c r="I121" s="15" t="s">
        <v>3172</v>
      </c>
      <c r="J121" s="15" t="s">
        <v>1815</v>
      </c>
      <c r="K121" s="15" t="s">
        <v>3173</v>
      </c>
      <c r="L121" s="15" t="s">
        <v>1817</v>
      </c>
      <c r="M121" s="15" t="s">
        <v>23</v>
      </c>
      <c r="N121" s="15">
        <v>2025</v>
      </c>
      <c r="O121" s="15">
        <v>18</v>
      </c>
      <c r="P121" s="15">
        <v>4</v>
      </c>
      <c r="Q121" s="15">
        <v>863</v>
      </c>
      <c r="R121" s="15">
        <v>879</v>
      </c>
      <c r="S121" s="15" t="s">
        <v>3174</v>
      </c>
      <c r="T121" s="15" t="str">
        <f>HYPERLINK("http://dx.doi.org/10.1007/s12273-025-1242-x","http://dx.doi.org/10.1007/s12273-025-1242-x")</f>
        <v>http://dx.doi.org/10.1007/s12273-025-1242-x</v>
      </c>
      <c r="U121" s="15" t="s">
        <v>3175</v>
      </c>
      <c r="V121" s="15" t="s">
        <v>3176</v>
      </c>
    </row>
    <row r="122" spans="1:22" x14ac:dyDescent="0.4">
      <c r="A122" s="15" t="s">
        <v>3177</v>
      </c>
      <c r="B122" s="15" t="s">
        <v>3178</v>
      </c>
      <c r="C122" s="15" t="s">
        <v>3179</v>
      </c>
      <c r="D122" s="15" t="s">
        <v>12</v>
      </c>
      <c r="E122" s="15" t="s">
        <v>262</v>
      </c>
      <c r="F122" s="15" t="s">
        <v>3180</v>
      </c>
      <c r="G122" s="15" t="s">
        <v>3181</v>
      </c>
      <c r="H122" s="15" t="s">
        <v>3182</v>
      </c>
      <c r="I122" s="15" t="s">
        <v>3183</v>
      </c>
      <c r="J122" s="15" t="s">
        <v>346</v>
      </c>
      <c r="K122" s="15" t="s">
        <v>3184</v>
      </c>
      <c r="L122" s="15" t="s">
        <v>347</v>
      </c>
      <c r="M122" s="15" t="s">
        <v>23</v>
      </c>
      <c r="N122" s="15">
        <v>2025</v>
      </c>
      <c r="O122" s="15">
        <v>18</v>
      </c>
      <c r="P122" s="15">
        <v>4</v>
      </c>
      <c r="Q122" s="15">
        <v>897</v>
      </c>
      <c r="R122" s="15">
        <v>922</v>
      </c>
      <c r="S122" s="15" t="s">
        <v>3185</v>
      </c>
      <c r="T122" s="15" t="str">
        <f>HYPERLINK("http://dx.doi.org/10.1007/s12273-025-1236-8","http://dx.doi.org/10.1007/s12273-025-1236-8")</f>
        <v>http://dx.doi.org/10.1007/s12273-025-1236-8</v>
      </c>
      <c r="U122" s="15" t="s">
        <v>3175</v>
      </c>
      <c r="V122" s="15" t="s">
        <v>3186</v>
      </c>
    </row>
    <row r="123" spans="1:22" x14ac:dyDescent="0.4">
      <c r="A123" s="15" t="s">
        <v>3187</v>
      </c>
      <c r="B123" s="15" t="s">
        <v>3188</v>
      </c>
      <c r="C123" s="15" t="s">
        <v>3189</v>
      </c>
      <c r="D123" s="15" t="s">
        <v>12</v>
      </c>
      <c r="E123" s="15" t="s">
        <v>262</v>
      </c>
      <c r="F123" s="15" t="s">
        <v>3190</v>
      </c>
      <c r="G123" s="15" t="s">
        <v>3191</v>
      </c>
      <c r="H123" s="15" t="s">
        <v>3192</v>
      </c>
      <c r="I123" s="15" t="s">
        <v>3193</v>
      </c>
      <c r="J123" s="15" t="s">
        <v>3194</v>
      </c>
      <c r="K123" s="15" t="s">
        <v>3195</v>
      </c>
      <c r="L123" s="15" t="s">
        <v>3196</v>
      </c>
      <c r="M123" s="15" t="s">
        <v>23</v>
      </c>
      <c r="N123" s="15">
        <v>2025</v>
      </c>
      <c r="O123" s="15">
        <v>18</v>
      </c>
      <c r="P123" s="15">
        <v>4</v>
      </c>
      <c r="Q123" s="15">
        <v>747</v>
      </c>
      <c r="R123" s="15">
        <v>763</v>
      </c>
      <c r="S123" s="15" t="s">
        <v>3197</v>
      </c>
      <c r="T123" s="15" t="str">
        <f>HYPERLINK("http://dx.doi.org/10.1007/s12273-025-1241-y","http://dx.doi.org/10.1007/s12273-025-1241-y")</f>
        <v>http://dx.doi.org/10.1007/s12273-025-1241-y</v>
      </c>
      <c r="U123" s="15" t="s">
        <v>3175</v>
      </c>
      <c r="V123" s="15" t="s">
        <v>3198</v>
      </c>
    </row>
    <row r="124" spans="1:22" x14ac:dyDescent="0.4">
      <c r="A124" s="15" t="s">
        <v>3199</v>
      </c>
      <c r="B124" s="15" t="s">
        <v>3200</v>
      </c>
      <c r="C124" s="15" t="s">
        <v>3201</v>
      </c>
      <c r="D124" s="15" t="s">
        <v>12</v>
      </c>
      <c r="E124" s="15" t="s">
        <v>262</v>
      </c>
      <c r="F124" s="15" t="s">
        <v>3202</v>
      </c>
      <c r="G124" s="15" t="s">
        <v>3203</v>
      </c>
      <c r="H124" s="15" t="s">
        <v>3204</v>
      </c>
      <c r="I124" s="15" t="s">
        <v>3205</v>
      </c>
      <c r="J124" s="15" t="s">
        <v>284</v>
      </c>
      <c r="K124" s="15" t="s">
        <v>285</v>
      </c>
      <c r="L124" s="15" t="s">
        <v>286</v>
      </c>
      <c r="M124" s="15" t="s">
        <v>23</v>
      </c>
      <c r="N124" s="15">
        <v>2025</v>
      </c>
      <c r="O124" s="15">
        <v>18</v>
      </c>
      <c r="P124" s="15">
        <v>4</v>
      </c>
      <c r="Q124" s="15">
        <v>829</v>
      </c>
      <c r="R124" s="15">
        <v>846</v>
      </c>
      <c r="S124" s="15" t="s">
        <v>3206</v>
      </c>
      <c r="T124" s="15" t="str">
        <f>HYPERLINK("http://dx.doi.org/10.1007/s12273-025-1239-5","http://dx.doi.org/10.1007/s12273-025-1239-5")</f>
        <v>http://dx.doi.org/10.1007/s12273-025-1239-5</v>
      </c>
      <c r="U124" s="15" t="s">
        <v>3175</v>
      </c>
      <c r="V124" s="15" t="s">
        <v>3207</v>
      </c>
    </row>
    <row r="125" spans="1:22" x14ac:dyDescent="0.4">
      <c r="A125" s="15" t="s">
        <v>3208</v>
      </c>
      <c r="B125" s="15" t="s">
        <v>3209</v>
      </c>
      <c r="C125" s="15" t="s">
        <v>3210</v>
      </c>
      <c r="D125" s="15" t="s">
        <v>12</v>
      </c>
      <c r="E125" s="15" t="s">
        <v>262</v>
      </c>
      <c r="F125" s="15" t="s">
        <v>3211</v>
      </c>
      <c r="G125" s="15" t="s">
        <v>3212</v>
      </c>
      <c r="H125" s="15" t="s">
        <v>3213</v>
      </c>
      <c r="I125" s="15" t="s">
        <v>3214</v>
      </c>
      <c r="J125" s="15" t="s">
        <v>3215</v>
      </c>
      <c r="K125" s="15" t="s">
        <v>3216</v>
      </c>
      <c r="L125" s="15" t="s">
        <v>3217</v>
      </c>
      <c r="M125" s="15" t="s">
        <v>23</v>
      </c>
      <c r="N125" s="15">
        <v>2025</v>
      </c>
      <c r="O125" s="15">
        <v>18</v>
      </c>
      <c r="P125" s="15">
        <v>4</v>
      </c>
      <c r="Q125" s="15">
        <v>847</v>
      </c>
      <c r="R125" s="15">
        <v>862</v>
      </c>
      <c r="S125" s="15" t="s">
        <v>3218</v>
      </c>
      <c r="T125" s="15" t="str">
        <f>HYPERLINK("http://dx.doi.org/10.1007/s12273-025-1245-7","http://dx.doi.org/10.1007/s12273-025-1245-7")</f>
        <v>http://dx.doi.org/10.1007/s12273-025-1245-7</v>
      </c>
      <c r="U125" s="15" t="s">
        <v>3175</v>
      </c>
      <c r="V125" s="15" t="s">
        <v>3219</v>
      </c>
    </row>
    <row r="126" spans="1:22" x14ac:dyDescent="0.4">
      <c r="A126" s="15" t="s">
        <v>3220</v>
      </c>
      <c r="B126" s="15" t="s">
        <v>3221</v>
      </c>
      <c r="C126" s="15" t="s">
        <v>3222</v>
      </c>
      <c r="D126" s="15" t="s">
        <v>12</v>
      </c>
      <c r="E126" s="15" t="s">
        <v>262</v>
      </c>
      <c r="F126" s="15" t="s">
        <v>3223</v>
      </c>
      <c r="G126" s="15" t="s">
        <v>3224</v>
      </c>
      <c r="H126" s="15" t="s">
        <v>3225</v>
      </c>
      <c r="I126" s="15" t="s">
        <v>3226</v>
      </c>
      <c r="J126" s="15" t="s">
        <v>3227</v>
      </c>
      <c r="K126" s="15" t="s">
        <v>278</v>
      </c>
      <c r="L126" s="15" t="s">
        <v>279</v>
      </c>
      <c r="M126" s="15" t="s">
        <v>21</v>
      </c>
      <c r="N126" s="15">
        <v>2025</v>
      </c>
      <c r="O126" s="15">
        <v>18</v>
      </c>
      <c r="P126" s="15">
        <v>5</v>
      </c>
      <c r="Q126" s="15">
        <v>1163</v>
      </c>
      <c r="R126" s="15">
        <v>1178</v>
      </c>
      <c r="S126" s="15" t="s">
        <v>3228</v>
      </c>
      <c r="T126" s="15" t="str">
        <f>HYPERLINK("http://dx.doi.org/10.1007/s12273-025-1248-4","http://dx.doi.org/10.1007/s12273-025-1248-4")</f>
        <v>http://dx.doi.org/10.1007/s12273-025-1248-4</v>
      </c>
      <c r="U126" s="15" t="s">
        <v>3175</v>
      </c>
      <c r="V126" s="15" t="s">
        <v>3229</v>
      </c>
    </row>
    <row r="127" spans="1:22" x14ac:dyDescent="0.4">
      <c r="A127" s="15" t="s">
        <v>3230</v>
      </c>
      <c r="B127" s="15" t="s">
        <v>3231</v>
      </c>
      <c r="C127" s="15" t="s">
        <v>3232</v>
      </c>
      <c r="D127" s="15" t="s">
        <v>12</v>
      </c>
      <c r="E127" s="15" t="s">
        <v>262</v>
      </c>
      <c r="F127" s="15" t="s">
        <v>3233</v>
      </c>
      <c r="G127" s="15" t="s">
        <v>3234</v>
      </c>
      <c r="H127" s="15" t="s">
        <v>3235</v>
      </c>
      <c r="I127" s="15" t="s">
        <v>3236</v>
      </c>
      <c r="J127" s="15" t="s">
        <v>3237</v>
      </c>
      <c r="K127" s="15" t="s">
        <v>3238</v>
      </c>
      <c r="L127" s="15" t="s">
        <v>3239</v>
      </c>
      <c r="M127" s="15" t="s">
        <v>23</v>
      </c>
      <c r="N127" s="15">
        <v>2025</v>
      </c>
      <c r="O127" s="15">
        <v>18</v>
      </c>
      <c r="P127" s="15">
        <v>4</v>
      </c>
      <c r="Q127" s="15">
        <v>881</v>
      </c>
      <c r="R127" s="15">
        <v>896</v>
      </c>
      <c r="S127" s="15" t="s">
        <v>3240</v>
      </c>
      <c r="T127" s="15" t="str">
        <f>HYPERLINK("http://dx.doi.org/10.1007/s12273-025-1231-0","http://dx.doi.org/10.1007/s12273-025-1231-0")</f>
        <v>http://dx.doi.org/10.1007/s12273-025-1231-0</v>
      </c>
      <c r="U127" s="15" t="s">
        <v>3175</v>
      </c>
      <c r="V127" s="15" t="s">
        <v>3241</v>
      </c>
    </row>
    <row r="128" spans="1:22" x14ac:dyDescent="0.4">
      <c r="A128" s="15" t="s">
        <v>3242</v>
      </c>
      <c r="B128" s="15" t="s">
        <v>3243</v>
      </c>
      <c r="C128" s="15" t="s">
        <v>3244</v>
      </c>
      <c r="D128" s="15" t="s">
        <v>12</v>
      </c>
      <c r="E128" s="15" t="s">
        <v>262</v>
      </c>
      <c r="F128" s="15" t="s">
        <v>3245</v>
      </c>
      <c r="G128" s="15" t="s">
        <v>3246</v>
      </c>
      <c r="H128" s="15" t="s">
        <v>3247</v>
      </c>
      <c r="I128" s="15" t="s">
        <v>3248</v>
      </c>
      <c r="J128" s="15" t="s">
        <v>3249</v>
      </c>
      <c r="K128" s="15" t="s">
        <v>3250</v>
      </c>
      <c r="L128" s="15" t="s">
        <v>3251</v>
      </c>
      <c r="M128" s="15" t="s">
        <v>23</v>
      </c>
      <c r="N128" s="15">
        <v>2025</v>
      </c>
      <c r="O128" s="15">
        <v>18</v>
      </c>
      <c r="P128" s="15">
        <v>4</v>
      </c>
      <c r="Q128" s="15">
        <v>923</v>
      </c>
      <c r="R128" s="15">
        <v>936</v>
      </c>
      <c r="S128" s="15" t="s">
        <v>3252</v>
      </c>
      <c r="T128" s="15" t="str">
        <f>HYPERLINK("http://dx.doi.org/10.1007/s12273-025-1243-9","http://dx.doi.org/10.1007/s12273-025-1243-9")</f>
        <v>http://dx.doi.org/10.1007/s12273-025-1243-9</v>
      </c>
      <c r="U128" s="15" t="s">
        <v>3175</v>
      </c>
      <c r="V128" s="15" t="s">
        <v>3253</v>
      </c>
    </row>
    <row r="129" spans="1:22" x14ac:dyDescent="0.4">
      <c r="A129" s="15" t="s">
        <v>3254</v>
      </c>
      <c r="B129" s="15" t="s">
        <v>3255</v>
      </c>
      <c r="C129" s="15" t="s">
        <v>3256</v>
      </c>
      <c r="D129" s="15" t="s">
        <v>12</v>
      </c>
      <c r="E129" s="15" t="s">
        <v>262</v>
      </c>
      <c r="F129" s="15" t="s">
        <v>3257</v>
      </c>
      <c r="G129" s="15" t="s">
        <v>3258</v>
      </c>
      <c r="H129" s="15" t="s">
        <v>3259</v>
      </c>
      <c r="I129" s="15" t="s">
        <v>3260</v>
      </c>
      <c r="J129" s="15" t="s">
        <v>3261</v>
      </c>
      <c r="K129" s="15" t="s">
        <v>3262</v>
      </c>
      <c r="L129" s="15" t="s">
        <v>3263</v>
      </c>
      <c r="M129" s="15" t="s">
        <v>25</v>
      </c>
      <c r="N129" s="15">
        <v>2025</v>
      </c>
      <c r="O129" s="15">
        <v>18</v>
      </c>
      <c r="P129" s="15">
        <v>3</v>
      </c>
      <c r="Q129" s="15">
        <v>581</v>
      </c>
      <c r="R129" s="15">
        <v>599</v>
      </c>
      <c r="S129" s="15" t="s">
        <v>3264</v>
      </c>
      <c r="T129" s="15" t="str">
        <f>HYPERLINK("http://dx.doi.org/10.1007/s12273-025-1228-8","http://dx.doi.org/10.1007/s12273-025-1228-8")</f>
        <v>http://dx.doi.org/10.1007/s12273-025-1228-8</v>
      </c>
      <c r="U129" s="15" t="s">
        <v>3265</v>
      </c>
      <c r="V129" s="15" t="s">
        <v>3266</v>
      </c>
    </row>
    <row r="130" spans="1:22" x14ac:dyDescent="0.4">
      <c r="A130" s="15" t="s">
        <v>3267</v>
      </c>
      <c r="B130" s="15" t="s">
        <v>3268</v>
      </c>
      <c r="C130" s="15" t="s">
        <v>3269</v>
      </c>
      <c r="D130" s="15" t="s">
        <v>12</v>
      </c>
      <c r="E130" s="15" t="s">
        <v>262</v>
      </c>
      <c r="F130" s="15" t="s">
        <v>3270</v>
      </c>
      <c r="G130" s="15" t="s">
        <v>3271</v>
      </c>
      <c r="H130" s="15" t="s">
        <v>3272</v>
      </c>
      <c r="I130" s="15" t="s">
        <v>3273</v>
      </c>
      <c r="J130" s="15" t="s">
        <v>3274</v>
      </c>
      <c r="K130" s="15" t="s">
        <v>3275</v>
      </c>
      <c r="L130" s="15" t="s">
        <v>3276</v>
      </c>
      <c r="M130" s="15" t="s">
        <v>25</v>
      </c>
      <c r="N130" s="15">
        <v>2025</v>
      </c>
      <c r="O130" s="15">
        <v>18</v>
      </c>
      <c r="P130" s="15">
        <v>3</v>
      </c>
      <c r="Q130" s="15">
        <v>619</v>
      </c>
      <c r="R130" s="15">
        <v>639</v>
      </c>
      <c r="S130" s="15" t="s">
        <v>3277</v>
      </c>
      <c r="T130" s="15" t="str">
        <f>HYPERLINK("http://dx.doi.org/10.1007/s12273-025-1232-z","http://dx.doi.org/10.1007/s12273-025-1232-z")</f>
        <v>http://dx.doi.org/10.1007/s12273-025-1232-z</v>
      </c>
      <c r="U130" s="15" t="s">
        <v>3265</v>
      </c>
      <c r="V130" s="15" t="s">
        <v>3278</v>
      </c>
    </row>
    <row r="131" spans="1:22" x14ac:dyDescent="0.4">
      <c r="A131" s="15" t="s">
        <v>3279</v>
      </c>
      <c r="B131" s="15" t="s">
        <v>3280</v>
      </c>
      <c r="C131" s="15" t="s">
        <v>3281</v>
      </c>
      <c r="D131" s="15" t="s">
        <v>12</v>
      </c>
      <c r="E131" s="15" t="s">
        <v>262</v>
      </c>
      <c r="F131" s="15" t="s">
        <v>3282</v>
      </c>
      <c r="G131" s="15" t="s">
        <v>3283</v>
      </c>
      <c r="H131" s="15" t="s">
        <v>3284</v>
      </c>
      <c r="I131" s="15" t="s">
        <v>3285</v>
      </c>
      <c r="J131" s="15" t="s">
        <v>3286</v>
      </c>
      <c r="K131" s="15" t="s">
        <v>3287</v>
      </c>
      <c r="L131" s="15" t="s">
        <v>1320</v>
      </c>
      <c r="M131" s="15" t="s">
        <v>25</v>
      </c>
      <c r="N131" s="15">
        <v>2025</v>
      </c>
      <c r="O131" s="15">
        <v>18</v>
      </c>
      <c r="P131" s="15">
        <v>3</v>
      </c>
      <c r="Q131" s="15">
        <v>663</v>
      </c>
      <c r="R131" s="15">
        <v>678</v>
      </c>
      <c r="S131" s="15" t="s">
        <v>3288</v>
      </c>
      <c r="T131" s="15" t="str">
        <f>HYPERLINK("http://dx.doi.org/10.1007/s12273-025-1226-x","http://dx.doi.org/10.1007/s12273-025-1226-x")</f>
        <v>http://dx.doi.org/10.1007/s12273-025-1226-x</v>
      </c>
      <c r="U131" s="15" t="s">
        <v>3265</v>
      </c>
      <c r="V131" s="15" t="s">
        <v>3289</v>
      </c>
    </row>
    <row r="132" spans="1:22" x14ac:dyDescent="0.4">
      <c r="A132" s="15" t="s">
        <v>3290</v>
      </c>
      <c r="B132" s="15" t="s">
        <v>3291</v>
      </c>
      <c r="C132" s="15" t="s">
        <v>3292</v>
      </c>
      <c r="D132" s="15" t="s">
        <v>12</v>
      </c>
      <c r="E132" s="15" t="s">
        <v>262</v>
      </c>
      <c r="F132" s="15" t="s">
        <v>3293</v>
      </c>
      <c r="G132" s="15" t="s">
        <v>3294</v>
      </c>
      <c r="H132" s="15" t="s">
        <v>3295</v>
      </c>
      <c r="I132" s="15" t="s">
        <v>3296</v>
      </c>
      <c r="J132" s="15" t="s">
        <v>3297</v>
      </c>
      <c r="K132" s="15" t="s">
        <v>3298</v>
      </c>
      <c r="L132" s="15" t="s">
        <v>3299</v>
      </c>
      <c r="M132" s="15" t="s">
        <v>25</v>
      </c>
      <c r="N132" s="15">
        <v>2025</v>
      </c>
      <c r="O132" s="15">
        <v>18</v>
      </c>
      <c r="P132" s="15">
        <v>3</v>
      </c>
      <c r="Q132" s="15">
        <v>515</v>
      </c>
      <c r="R132" s="15">
        <v>530</v>
      </c>
      <c r="S132" s="15" t="s">
        <v>3300</v>
      </c>
      <c r="T132" s="15" t="str">
        <f>HYPERLINK("http://dx.doi.org/10.1007/s12273-025-1234-x","http://dx.doi.org/10.1007/s12273-025-1234-x")</f>
        <v>http://dx.doi.org/10.1007/s12273-025-1234-x</v>
      </c>
      <c r="U132" s="15" t="s">
        <v>3265</v>
      </c>
      <c r="V132" s="15" t="s">
        <v>3301</v>
      </c>
    </row>
    <row r="133" spans="1:22" x14ac:dyDescent="0.4">
      <c r="A133" s="15" t="s">
        <v>3302</v>
      </c>
      <c r="B133" s="15" t="s">
        <v>3303</v>
      </c>
      <c r="C133" s="15" t="s">
        <v>3304</v>
      </c>
      <c r="D133" s="15" t="s">
        <v>12</v>
      </c>
      <c r="E133" s="15" t="s">
        <v>262</v>
      </c>
      <c r="F133" s="15" t="s">
        <v>3305</v>
      </c>
      <c r="G133" s="15" t="s">
        <v>3306</v>
      </c>
      <c r="H133" s="15" t="s">
        <v>3307</v>
      </c>
      <c r="I133" s="15" t="s">
        <v>3308</v>
      </c>
      <c r="J133" s="15" t="s">
        <v>3309</v>
      </c>
      <c r="K133" s="15" t="s">
        <v>3310</v>
      </c>
      <c r="L133" s="15" t="s">
        <v>3311</v>
      </c>
      <c r="M133" s="15" t="s">
        <v>25</v>
      </c>
      <c r="N133" s="15">
        <v>2025</v>
      </c>
      <c r="O133" s="15">
        <v>18</v>
      </c>
      <c r="P133" s="15">
        <v>3</v>
      </c>
      <c r="Q133" s="15">
        <v>679</v>
      </c>
      <c r="R133" s="15">
        <v>698</v>
      </c>
      <c r="S133" s="15" t="s">
        <v>3312</v>
      </c>
      <c r="T133" s="15" t="str">
        <f>HYPERLINK("http://dx.doi.org/10.1007/s12273-025-1237-7","http://dx.doi.org/10.1007/s12273-025-1237-7")</f>
        <v>http://dx.doi.org/10.1007/s12273-025-1237-7</v>
      </c>
      <c r="U133" s="15" t="s">
        <v>3265</v>
      </c>
      <c r="V133" s="15" t="s">
        <v>3313</v>
      </c>
    </row>
    <row r="134" spans="1:22" x14ac:dyDescent="0.4">
      <c r="A134" s="15" t="s">
        <v>3314</v>
      </c>
      <c r="B134" s="15" t="s">
        <v>3315</v>
      </c>
      <c r="C134" s="15" t="s">
        <v>3316</v>
      </c>
      <c r="D134" s="15" t="s">
        <v>12</v>
      </c>
      <c r="E134" s="15" t="s">
        <v>262</v>
      </c>
      <c r="F134" s="15" t="s">
        <v>3317</v>
      </c>
      <c r="G134" s="15" t="s">
        <v>3318</v>
      </c>
      <c r="H134" s="15" t="s">
        <v>3319</v>
      </c>
      <c r="I134" s="15" t="s">
        <v>3320</v>
      </c>
      <c r="J134" s="15" t="s">
        <v>3321</v>
      </c>
      <c r="K134" s="15" t="s">
        <v>3322</v>
      </c>
      <c r="L134" s="15" t="s">
        <v>3323</v>
      </c>
      <c r="M134" s="15" t="s">
        <v>25</v>
      </c>
      <c r="N134" s="15">
        <v>2025</v>
      </c>
      <c r="O134" s="15">
        <v>18</v>
      </c>
      <c r="P134" s="15">
        <v>3</v>
      </c>
      <c r="Q134" s="15">
        <v>641</v>
      </c>
      <c r="R134" s="15">
        <v>661</v>
      </c>
      <c r="S134" s="15" t="s">
        <v>3324</v>
      </c>
      <c r="T134" s="15" t="str">
        <f>HYPERLINK("http://dx.doi.org/10.1007/s12273-025-1224-z","http://dx.doi.org/10.1007/s12273-025-1224-z")</f>
        <v>http://dx.doi.org/10.1007/s12273-025-1224-z</v>
      </c>
      <c r="U134" s="15" t="s">
        <v>3265</v>
      </c>
      <c r="V134" s="15" t="s">
        <v>3325</v>
      </c>
    </row>
    <row r="135" spans="1:22" x14ac:dyDescent="0.4">
      <c r="A135" s="15" t="s">
        <v>3326</v>
      </c>
      <c r="B135" s="15" t="s">
        <v>3327</v>
      </c>
      <c r="C135" s="15" t="s">
        <v>3328</v>
      </c>
      <c r="D135" s="15" t="s">
        <v>12</v>
      </c>
      <c r="E135" s="15" t="s">
        <v>262</v>
      </c>
      <c r="F135" s="15" t="s">
        <v>3329</v>
      </c>
      <c r="G135" s="15" t="s">
        <v>3330</v>
      </c>
      <c r="H135" s="15" t="s">
        <v>3331</v>
      </c>
      <c r="I135" s="15" t="s">
        <v>3332</v>
      </c>
      <c r="J135" s="15" t="s">
        <v>3333</v>
      </c>
      <c r="K135" s="15" t="s">
        <v>745</v>
      </c>
      <c r="L135" s="15" t="s">
        <v>746</v>
      </c>
      <c r="M135" s="15" t="s">
        <v>25</v>
      </c>
      <c r="N135" s="15">
        <v>2025</v>
      </c>
      <c r="O135" s="15">
        <v>18</v>
      </c>
      <c r="P135" s="15">
        <v>3</v>
      </c>
      <c r="Q135" s="15">
        <v>531</v>
      </c>
      <c r="R135" s="15">
        <v>546</v>
      </c>
      <c r="S135" s="15" t="s">
        <v>3334</v>
      </c>
      <c r="T135" s="15" t="str">
        <f>HYPERLINK("http://dx.doi.org/10.1007/s12273-024-1222-6","http://dx.doi.org/10.1007/s12273-024-1222-6")</f>
        <v>http://dx.doi.org/10.1007/s12273-024-1222-6</v>
      </c>
      <c r="U135" s="15" t="s">
        <v>3265</v>
      </c>
      <c r="V135" s="15" t="s">
        <v>3335</v>
      </c>
    </row>
    <row r="136" spans="1:22" x14ac:dyDescent="0.4">
      <c r="A136" s="15" t="s">
        <v>3336</v>
      </c>
      <c r="B136" s="15" t="s">
        <v>3337</v>
      </c>
      <c r="C136" s="15" t="s">
        <v>3338</v>
      </c>
      <c r="D136" s="15" t="s">
        <v>12</v>
      </c>
      <c r="E136" s="15" t="s">
        <v>262</v>
      </c>
      <c r="F136" s="15" t="s">
        <v>3339</v>
      </c>
      <c r="G136" s="15" t="s">
        <v>3340</v>
      </c>
      <c r="H136" s="15" t="s">
        <v>3341</v>
      </c>
      <c r="I136" s="15" t="s">
        <v>3342</v>
      </c>
      <c r="J136" s="15" t="s">
        <v>282</v>
      </c>
      <c r="K136" s="15" t="s">
        <v>3343</v>
      </c>
      <c r="L136" s="15" t="s">
        <v>3344</v>
      </c>
      <c r="M136" s="15" t="s">
        <v>25</v>
      </c>
      <c r="N136" s="15">
        <v>2025</v>
      </c>
      <c r="O136" s="15">
        <v>18</v>
      </c>
      <c r="P136" s="15">
        <v>3</v>
      </c>
      <c r="Q136" s="15">
        <v>499</v>
      </c>
      <c r="R136" s="15">
        <v>513</v>
      </c>
      <c r="S136" s="15" t="s">
        <v>3345</v>
      </c>
      <c r="T136" s="15" t="str">
        <f>HYPERLINK("http://dx.doi.org/10.1007/s12273-024-1223-5","http://dx.doi.org/10.1007/s12273-024-1223-5")</f>
        <v>http://dx.doi.org/10.1007/s12273-024-1223-5</v>
      </c>
      <c r="U136" s="15" t="s">
        <v>3265</v>
      </c>
      <c r="V136" s="15" t="s">
        <v>3346</v>
      </c>
    </row>
    <row r="137" spans="1:22" x14ac:dyDescent="0.4">
      <c r="A137" s="15" t="s">
        <v>3347</v>
      </c>
      <c r="B137" s="15" t="s">
        <v>3348</v>
      </c>
      <c r="C137" s="15" t="s">
        <v>3349</v>
      </c>
      <c r="D137" s="15" t="s">
        <v>12</v>
      </c>
      <c r="E137" s="15" t="s">
        <v>262</v>
      </c>
      <c r="F137" s="15" t="s">
        <v>3350</v>
      </c>
      <c r="G137" s="15" t="s">
        <v>3351</v>
      </c>
      <c r="H137" s="15" t="s">
        <v>3352</v>
      </c>
      <c r="I137" s="15" t="s">
        <v>3353</v>
      </c>
      <c r="J137" s="15" t="s">
        <v>3354</v>
      </c>
      <c r="K137" s="15" t="s">
        <v>3355</v>
      </c>
      <c r="L137" s="15" t="s">
        <v>3356</v>
      </c>
      <c r="M137" s="15" t="s">
        <v>26</v>
      </c>
      <c r="N137" s="15">
        <v>2025</v>
      </c>
      <c r="O137" s="15">
        <v>18</v>
      </c>
      <c r="P137" s="15">
        <v>2</v>
      </c>
      <c r="Q137" s="15">
        <v>385</v>
      </c>
      <c r="R137" s="15">
        <v>401</v>
      </c>
      <c r="S137" s="15" t="s">
        <v>3357</v>
      </c>
      <c r="T137" s="15" t="str">
        <f>HYPERLINK("http://dx.doi.org/10.1007/s12273-024-1218-2","http://dx.doi.org/10.1007/s12273-024-1218-2")</f>
        <v>http://dx.doi.org/10.1007/s12273-024-1218-2</v>
      </c>
      <c r="U137" s="15" t="s">
        <v>3265</v>
      </c>
      <c r="V137" s="15" t="s">
        <v>3358</v>
      </c>
    </row>
    <row r="138" spans="1:22" x14ac:dyDescent="0.4">
      <c r="A138" s="15" t="s">
        <v>3359</v>
      </c>
      <c r="B138" s="15" t="s">
        <v>3360</v>
      </c>
      <c r="C138" s="15" t="s">
        <v>3361</v>
      </c>
      <c r="D138" s="15" t="s">
        <v>12</v>
      </c>
      <c r="E138" s="15" t="s">
        <v>262</v>
      </c>
      <c r="F138" s="15" t="s">
        <v>3362</v>
      </c>
      <c r="G138" s="15" t="s">
        <v>3363</v>
      </c>
      <c r="H138" s="15" t="s">
        <v>3364</v>
      </c>
      <c r="I138" s="15" t="s">
        <v>3365</v>
      </c>
      <c r="J138" s="15" t="s">
        <v>3366</v>
      </c>
      <c r="K138" s="15" t="s">
        <v>3367</v>
      </c>
      <c r="L138" s="15" t="s">
        <v>3368</v>
      </c>
      <c r="M138" s="15" t="s">
        <v>25</v>
      </c>
      <c r="N138" s="15">
        <v>2025</v>
      </c>
      <c r="O138" s="15">
        <v>18</v>
      </c>
      <c r="P138" s="15">
        <v>3</v>
      </c>
      <c r="Q138" s="15">
        <v>601</v>
      </c>
      <c r="R138" s="15">
        <v>617</v>
      </c>
      <c r="S138" s="15" t="s">
        <v>3369</v>
      </c>
      <c r="T138" s="15" t="str">
        <f>HYPERLINK("http://dx.doi.org/10.1007/s12273-024-1229-7","http://dx.doi.org/10.1007/s12273-024-1229-7")</f>
        <v>http://dx.doi.org/10.1007/s12273-024-1229-7</v>
      </c>
      <c r="U138" s="15" t="s">
        <v>3265</v>
      </c>
      <c r="V138" s="15" t="s">
        <v>3370</v>
      </c>
    </row>
    <row r="139" spans="1:22" x14ac:dyDescent="0.4">
      <c r="A139" s="15" t="s">
        <v>3371</v>
      </c>
      <c r="B139" s="15" t="s">
        <v>3372</v>
      </c>
      <c r="C139" s="15" t="s">
        <v>3373</v>
      </c>
      <c r="D139" s="15" t="s">
        <v>12</v>
      </c>
      <c r="E139" s="15" t="s">
        <v>262</v>
      </c>
      <c r="F139" s="15" t="s">
        <v>3374</v>
      </c>
      <c r="G139" s="15" t="s">
        <v>3375</v>
      </c>
      <c r="H139" s="15" t="s">
        <v>3376</v>
      </c>
      <c r="I139" s="15" t="s">
        <v>3377</v>
      </c>
      <c r="J139" s="15" t="s">
        <v>281</v>
      </c>
      <c r="K139" s="15" t="s">
        <v>3378</v>
      </c>
      <c r="L139" s="15" t="s">
        <v>722</v>
      </c>
      <c r="M139" s="15" t="s">
        <v>26</v>
      </c>
      <c r="N139" s="15">
        <v>2025</v>
      </c>
      <c r="O139" s="15">
        <v>18</v>
      </c>
      <c r="P139" s="15">
        <v>2</v>
      </c>
      <c r="Q139" s="15">
        <v>423</v>
      </c>
      <c r="R139" s="15">
        <v>447</v>
      </c>
      <c r="S139" s="15" t="s">
        <v>3379</v>
      </c>
      <c r="T139" s="15" t="str">
        <f>HYPERLINK("http://dx.doi.org/10.1007/s12273-024-1191-9","http://dx.doi.org/10.1007/s12273-024-1191-9")</f>
        <v>http://dx.doi.org/10.1007/s12273-024-1191-9</v>
      </c>
      <c r="U139" s="15" t="s">
        <v>3265</v>
      </c>
      <c r="V139" s="15" t="s">
        <v>3380</v>
      </c>
    </row>
    <row r="140" spans="1:22" x14ac:dyDescent="0.4">
      <c r="A140" s="15" t="s">
        <v>3381</v>
      </c>
      <c r="B140" s="15" t="s">
        <v>3382</v>
      </c>
      <c r="C140" s="15" t="s">
        <v>3383</v>
      </c>
      <c r="D140" s="15" t="s">
        <v>12</v>
      </c>
      <c r="E140" s="15" t="s">
        <v>262</v>
      </c>
      <c r="F140" s="15" t="s">
        <v>3384</v>
      </c>
      <c r="G140" s="15" t="s">
        <v>3385</v>
      </c>
      <c r="H140" s="15" t="s">
        <v>3386</v>
      </c>
      <c r="I140" s="15" t="s">
        <v>3387</v>
      </c>
      <c r="J140" s="15" t="s">
        <v>439</v>
      </c>
      <c r="K140" s="15" t="s">
        <v>3388</v>
      </c>
      <c r="L140" s="15" t="s">
        <v>3389</v>
      </c>
      <c r="M140" s="15" t="s">
        <v>25</v>
      </c>
      <c r="N140" s="15">
        <v>2025</v>
      </c>
      <c r="O140" s="15">
        <v>18</v>
      </c>
      <c r="P140" s="15">
        <v>3</v>
      </c>
      <c r="Q140" s="15">
        <v>547</v>
      </c>
      <c r="R140" s="15">
        <v>567</v>
      </c>
      <c r="S140" s="15" t="s">
        <v>3390</v>
      </c>
      <c r="T140" s="15" t="str">
        <f>HYPERLINK("http://dx.doi.org/10.1007/s12273-024-1227-9","http://dx.doi.org/10.1007/s12273-024-1227-9")</f>
        <v>http://dx.doi.org/10.1007/s12273-024-1227-9</v>
      </c>
      <c r="U140" s="15" t="s">
        <v>3265</v>
      </c>
      <c r="V140" s="15" t="s">
        <v>3391</v>
      </c>
    </row>
    <row r="141" spans="1:22" x14ac:dyDescent="0.4">
      <c r="A141" s="15" t="s">
        <v>3392</v>
      </c>
      <c r="B141" s="15" t="s">
        <v>3393</v>
      </c>
      <c r="C141" s="15" t="s">
        <v>3394</v>
      </c>
      <c r="D141" s="15" t="s">
        <v>12</v>
      </c>
      <c r="E141" s="15" t="s">
        <v>262</v>
      </c>
      <c r="F141" s="15" t="s">
        <v>3395</v>
      </c>
      <c r="G141" s="15" t="s">
        <v>3396</v>
      </c>
      <c r="H141" s="15" t="s">
        <v>3397</v>
      </c>
      <c r="I141" s="15" t="s">
        <v>3398</v>
      </c>
      <c r="J141" s="15" t="s">
        <v>3399</v>
      </c>
      <c r="K141" s="15" t="s">
        <v>3400</v>
      </c>
      <c r="L141" s="15" t="s">
        <v>277</v>
      </c>
      <c r="M141" s="15" t="s">
        <v>25</v>
      </c>
      <c r="N141" s="15">
        <v>2025</v>
      </c>
      <c r="O141" s="15">
        <v>18</v>
      </c>
      <c r="P141" s="15">
        <v>3</v>
      </c>
      <c r="Q141" s="15">
        <v>569</v>
      </c>
      <c r="R141" s="15">
        <v>579</v>
      </c>
      <c r="S141" s="15" t="s">
        <v>3401</v>
      </c>
      <c r="T141" s="15" t="str">
        <f>HYPERLINK("http://dx.doi.org/10.1007/s12273-025-1225-y","http://dx.doi.org/10.1007/s12273-025-1225-y")</f>
        <v>http://dx.doi.org/10.1007/s12273-025-1225-y</v>
      </c>
      <c r="U141" s="15" t="s">
        <v>3265</v>
      </c>
      <c r="V141" s="15" t="s">
        <v>3402</v>
      </c>
    </row>
    <row r="142" spans="1:22" x14ac:dyDescent="0.4">
      <c r="A142" s="15" t="s">
        <v>3403</v>
      </c>
      <c r="B142" s="15" t="s">
        <v>3404</v>
      </c>
      <c r="C142" s="15" t="s">
        <v>3405</v>
      </c>
      <c r="D142" s="15" t="s">
        <v>12</v>
      </c>
      <c r="E142" s="15" t="s">
        <v>262</v>
      </c>
      <c r="F142" s="15" t="s">
        <v>3406</v>
      </c>
      <c r="G142" s="15" t="s">
        <v>3407</v>
      </c>
      <c r="H142" s="15" t="s">
        <v>3408</v>
      </c>
      <c r="I142" s="15" t="s">
        <v>3409</v>
      </c>
      <c r="J142" s="15" t="s">
        <v>3410</v>
      </c>
      <c r="K142" s="15" t="s">
        <v>3411</v>
      </c>
      <c r="L142" s="15" t="s">
        <v>3412</v>
      </c>
      <c r="M142" s="15" t="s">
        <v>26</v>
      </c>
      <c r="N142" s="15">
        <v>2025</v>
      </c>
      <c r="O142" s="15">
        <v>18</v>
      </c>
      <c r="P142" s="15">
        <v>2</v>
      </c>
      <c r="Q142" s="15">
        <v>339</v>
      </c>
      <c r="R142" s="15">
        <v>352</v>
      </c>
      <c r="S142" s="15" t="s">
        <v>3413</v>
      </c>
      <c r="T142" s="15" t="str">
        <f>HYPERLINK("http://dx.doi.org/10.1007/s12273-024-1219-1","http://dx.doi.org/10.1007/s12273-024-1219-1")</f>
        <v>http://dx.doi.org/10.1007/s12273-024-1219-1</v>
      </c>
      <c r="U142" s="15" t="s">
        <v>3265</v>
      </c>
      <c r="V142" s="15" t="s">
        <v>3414</v>
      </c>
    </row>
    <row r="143" spans="1:22" x14ac:dyDescent="0.4">
      <c r="A143" s="15" t="s">
        <v>3415</v>
      </c>
      <c r="B143" s="15" t="s">
        <v>3416</v>
      </c>
      <c r="C143" s="15" t="s">
        <v>3417</v>
      </c>
      <c r="D143" s="15" t="s">
        <v>12</v>
      </c>
      <c r="E143" s="15" t="s">
        <v>262</v>
      </c>
      <c r="F143" s="15" t="s">
        <v>3418</v>
      </c>
      <c r="G143" s="15" t="s">
        <v>3419</v>
      </c>
      <c r="H143" s="15" t="s">
        <v>3420</v>
      </c>
      <c r="I143" s="15" t="s">
        <v>3421</v>
      </c>
      <c r="J143" s="15" t="s">
        <v>282</v>
      </c>
      <c r="K143" s="15" t="s">
        <v>3422</v>
      </c>
      <c r="L143" s="15" t="s">
        <v>3423</v>
      </c>
      <c r="M143" s="15" t="s">
        <v>26</v>
      </c>
      <c r="N143" s="15">
        <v>2025</v>
      </c>
      <c r="O143" s="15">
        <v>18</v>
      </c>
      <c r="P143" s="15">
        <v>2</v>
      </c>
      <c r="Q143" s="15">
        <v>403</v>
      </c>
      <c r="R143" s="15">
        <v>421</v>
      </c>
      <c r="S143" s="15" t="s">
        <v>3424</v>
      </c>
      <c r="T143" s="15" t="str">
        <f>HYPERLINK("http://dx.doi.org/10.1007/s12273-024-1221-7","http://dx.doi.org/10.1007/s12273-024-1221-7")</f>
        <v>http://dx.doi.org/10.1007/s12273-024-1221-7</v>
      </c>
      <c r="U143" s="15" t="s">
        <v>3265</v>
      </c>
      <c r="V143" s="15" t="s">
        <v>3425</v>
      </c>
    </row>
    <row r="144" spans="1:22" x14ac:dyDescent="0.4">
      <c r="A144" s="15" t="s">
        <v>3426</v>
      </c>
      <c r="B144" s="15" t="s">
        <v>3427</v>
      </c>
      <c r="C144" s="15" t="s">
        <v>3428</v>
      </c>
      <c r="D144" s="15" t="s">
        <v>12</v>
      </c>
      <c r="E144" s="15" t="s">
        <v>262</v>
      </c>
      <c r="F144" s="15" t="s">
        <v>3429</v>
      </c>
      <c r="G144" s="15" t="s">
        <v>3430</v>
      </c>
      <c r="H144" s="15" t="s">
        <v>3431</v>
      </c>
      <c r="I144" s="15" t="s">
        <v>3432</v>
      </c>
      <c r="J144" s="15" t="s">
        <v>665</v>
      </c>
      <c r="K144" s="15" t="s">
        <v>3433</v>
      </c>
      <c r="L144" s="15" t="s">
        <v>3434</v>
      </c>
      <c r="M144" s="15" t="s">
        <v>26</v>
      </c>
      <c r="N144" s="15">
        <v>2025</v>
      </c>
      <c r="O144" s="15">
        <v>18</v>
      </c>
      <c r="P144" s="15">
        <v>2</v>
      </c>
      <c r="Q144" s="15">
        <v>281</v>
      </c>
      <c r="R144" s="15">
        <v>293</v>
      </c>
      <c r="S144" s="15" t="s">
        <v>3435</v>
      </c>
      <c r="T144" s="15" t="str">
        <f>HYPERLINK("http://dx.doi.org/10.1007/s12273-024-1213-7","http://dx.doi.org/10.1007/s12273-024-1213-7")</f>
        <v>http://dx.doi.org/10.1007/s12273-024-1213-7</v>
      </c>
      <c r="U144" s="15" t="s">
        <v>3265</v>
      </c>
      <c r="V144" s="15" t="s">
        <v>3436</v>
      </c>
    </row>
    <row r="145" spans="1:22" x14ac:dyDescent="0.4">
      <c r="A145" s="15" t="s">
        <v>3437</v>
      </c>
      <c r="B145" s="15" t="s">
        <v>3438</v>
      </c>
      <c r="C145" s="15" t="s">
        <v>3439</v>
      </c>
      <c r="D145" s="15" t="s">
        <v>12</v>
      </c>
      <c r="E145" s="15" t="s">
        <v>262</v>
      </c>
      <c r="F145" s="15" t="s">
        <v>3440</v>
      </c>
      <c r="G145" s="15" t="s">
        <v>3441</v>
      </c>
      <c r="H145" s="15" t="s">
        <v>3442</v>
      </c>
      <c r="I145" s="15" t="s">
        <v>3443</v>
      </c>
      <c r="J145" s="15" t="s">
        <v>3444</v>
      </c>
      <c r="K145" s="15" t="s">
        <v>3445</v>
      </c>
      <c r="L145" s="15" t="s">
        <v>274</v>
      </c>
      <c r="M145" s="15" t="s">
        <v>24</v>
      </c>
      <c r="N145" s="15">
        <v>2025</v>
      </c>
      <c r="O145" s="15">
        <v>18</v>
      </c>
      <c r="P145" s="15">
        <v>1</v>
      </c>
      <c r="Q145" s="15">
        <v>19</v>
      </c>
      <c r="R145" s="15">
        <v>32</v>
      </c>
      <c r="S145" s="15" t="s">
        <v>3446</v>
      </c>
      <c r="T145" s="15" t="str">
        <f>HYPERLINK("http://dx.doi.org/10.1007/s12273-024-1204-8","http://dx.doi.org/10.1007/s12273-024-1204-8")</f>
        <v>http://dx.doi.org/10.1007/s12273-024-1204-8</v>
      </c>
      <c r="U145" s="15" t="s">
        <v>3265</v>
      </c>
      <c r="V145" s="15" t="s">
        <v>3447</v>
      </c>
    </row>
    <row r="146" spans="1:22" x14ac:dyDescent="0.4">
      <c r="A146" s="15" t="s">
        <v>1587</v>
      </c>
      <c r="B146" s="15" t="s">
        <v>1588</v>
      </c>
      <c r="C146" s="15" t="s">
        <v>1589</v>
      </c>
      <c r="D146" s="15" t="s">
        <v>12</v>
      </c>
      <c r="E146" s="15" t="s">
        <v>262</v>
      </c>
      <c r="F146" s="15" t="s">
        <v>1590</v>
      </c>
      <c r="G146" s="15" t="s">
        <v>1591</v>
      </c>
      <c r="H146" s="15" t="s">
        <v>1592</v>
      </c>
      <c r="I146" s="15" t="s">
        <v>1593</v>
      </c>
      <c r="J146" s="15" t="s">
        <v>1594</v>
      </c>
      <c r="K146" s="15" t="s">
        <v>1595</v>
      </c>
      <c r="L146" s="15" t="s">
        <v>465</v>
      </c>
      <c r="M146" s="15" t="s">
        <v>24</v>
      </c>
      <c r="N146" s="15">
        <v>2025</v>
      </c>
      <c r="O146" s="15">
        <v>18</v>
      </c>
      <c r="P146" s="15">
        <v>1</v>
      </c>
      <c r="Q146" s="15">
        <v>123</v>
      </c>
      <c r="R146" s="15">
        <v>140</v>
      </c>
      <c r="S146" s="15" t="s">
        <v>1596</v>
      </c>
      <c r="T146" s="15" t="str">
        <f>HYPERLINK("http://dx.doi.org/10.1007/s12273-024-1198-2","http://dx.doi.org/10.1007/s12273-024-1198-2")</f>
        <v>http://dx.doi.org/10.1007/s12273-024-1198-2</v>
      </c>
      <c r="U146" s="15" t="s">
        <v>1526</v>
      </c>
      <c r="V146" s="15" t="s">
        <v>1597</v>
      </c>
    </row>
    <row r="147" spans="1:22" x14ac:dyDescent="0.4">
      <c r="A147" s="15" t="s">
        <v>1724</v>
      </c>
      <c r="B147" s="15" t="s">
        <v>1725</v>
      </c>
      <c r="C147" s="15" t="s">
        <v>1726</v>
      </c>
      <c r="D147" s="15" t="s">
        <v>12</v>
      </c>
      <c r="E147" s="15" t="s">
        <v>262</v>
      </c>
      <c r="F147" s="15" t="s">
        <v>1727</v>
      </c>
      <c r="G147" s="15" t="s">
        <v>1728</v>
      </c>
      <c r="H147" s="15" t="s">
        <v>1729</v>
      </c>
      <c r="I147" s="15" t="s">
        <v>1730</v>
      </c>
      <c r="J147" s="15" t="s">
        <v>1731</v>
      </c>
      <c r="K147" s="15" t="s">
        <v>1732</v>
      </c>
      <c r="L147" s="15" t="s">
        <v>852</v>
      </c>
      <c r="M147" s="15" t="s">
        <v>25</v>
      </c>
      <c r="N147" s="15">
        <v>2025</v>
      </c>
      <c r="O147" s="15">
        <v>18</v>
      </c>
      <c r="P147" s="15">
        <v>3</v>
      </c>
      <c r="Q147" s="15">
        <v>473</v>
      </c>
      <c r="R147" s="15">
        <v>497</v>
      </c>
      <c r="S147" s="15" t="s">
        <v>1734</v>
      </c>
      <c r="T147" s="15" t="str">
        <f>HYPERLINK("http://dx.doi.org/10.1007/s12273-024-1196-4","http://dx.doi.org/10.1007/s12273-024-1196-4")</f>
        <v>http://dx.doi.org/10.1007/s12273-024-1196-4</v>
      </c>
      <c r="U147" s="15" t="s">
        <v>1526</v>
      </c>
      <c r="V147" s="15" t="s">
        <v>1735</v>
      </c>
    </row>
    <row r="148" spans="1:22" x14ac:dyDescent="0.4">
      <c r="A148" s="15" t="s">
        <v>1701</v>
      </c>
      <c r="B148" s="15" t="s">
        <v>1702</v>
      </c>
      <c r="C148" s="15" t="s">
        <v>1703</v>
      </c>
      <c r="D148" s="15" t="s">
        <v>12</v>
      </c>
      <c r="E148" s="15" t="s">
        <v>262</v>
      </c>
      <c r="F148" s="15" t="s">
        <v>1704</v>
      </c>
      <c r="G148" s="15" t="s">
        <v>1705</v>
      </c>
      <c r="H148" s="15" t="s">
        <v>1706</v>
      </c>
      <c r="I148" s="15" t="s">
        <v>1707</v>
      </c>
      <c r="J148" s="15" t="s">
        <v>294</v>
      </c>
      <c r="K148" s="15" t="s">
        <v>1708</v>
      </c>
      <c r="L148" s="15" t="s">
        <v>1709</v>
      </c>
      <c r="M148" s="15" t="s">
        <v>26</v>
      </c>
      <c r="N148" s="15">
        <v>2025</v>
      </c>
      <c r="O148" s="15">
        <v>18</v>
      </c>
      <c r="P148" s="15">
        <v>2</v>
      </c>
      <c r="Q148" s="15">
        <v>371</v>
      </c>
      <c r="R148" s="15">
        <v>383</v>
      </c>
      <c r="S148" s="15" t="s">
        <v>1710</v>
      </c>
      <c r="T148" s="15" t="str">
        <f>HYPERLINK("http://dx.doi.org/10.1007/s12273-024-1215-5","http://dx.doi.org/10.1007/s12273-024-1215-5")</f>
        <v>http://dx.doi.org/10.1007/s12273-024-1215-5</v>
      </c>
      <c r="U148" s="15" t="s">
        <v>1526</v>
      </c>
      <c r="V148" s="15" t="s">
        <v>1711</v>
      </c>
    </row>
    <row r="149" spans="1:22" x14ac:dyDescent="0.4">
      <c r="A149" s="15" t="s">
        <v>1515</v>
      </c>
      <c r="B149" s="15" t="s">
        <v>1516</v>
      </c>
      <c r="C149" s="15" t="s">
        <v>1517</v>
      </c>
      <c r="D149" s="15" t="s">
        <v>12</v>
      </c>
      <c r="E149" s="15" t="s">
        <v>262</v>
      </c>
      <c r="F149" s="15" t="s">
        <v>1518</v>
      </c>
      <c r="G149" s="15" t="s">
        <v>1519</v>
      </c>
      <c r="H149" s="15" t="s">
        <v>1520</v>
      </c>
      <c r="I149" s="15" t="s">
        <v>1521</v>
      </c>
      <c r="J149" s="15" t="s">
        <v>295</v>
      </c>
      <c r="K149" s="15" t="s">
        <v>1522</v>
      </c>
      <c r="L149" s="15" t="s">
        <v>1523</v>
      </c>
      <c r="M149" s="15" t="s">
        <v>24</v>
      </c>
      <c r="N149" s="15">
        <v>2025</v>
      </c>
      <c r="O149" s="15">
        <v>18</v>
      </c>
      <c r="P149" s="15">
        <v>1</v>
      </c>
      <c r="Q149" s="15">
        <v>3</v>
      </c>
      <c r="R149" s="15">
        <v>18</v>
      </c>
      <c r="S149" s="15" t="s">
        <v>1525</v>
      </c>
      <c r="T149" s="15" t="str">
        <f>HYPERLINK("http://dx.doi.org/10.1007/s12273-024-1214-6","http://dx.doi.org/10.1007/s12273-024-1214-6")</f>
        <v>http://dx.doi.org/10.1007/s12273-024-1214-6</v>
      </c>
      <c r="U149" s="15" t="s">
        <v>1526</v>
      </c>
      <c r="V149" s="15" t="s">
        <v>1527</v>
      </c>
    </row>
    <row r="150" spans="1:22" x14ac:dyDescent="0.4">
      <c r="A150" s="15" t="s">
        <v>1712</v>
      </c>
      <c r="B150" s="15" t="s">
        <v>1713</v>
      </c>
      <c r="C150" s="15" t="s">
        <v>1714</v>
      </c>
      <c r="D150" s="15" t="s">
        <v>12</v>
      </c>
      <c r="E150" s="15" t="s">
        <v>262</v>
      </c>
      <c r="F150" s="15" t="s">
        <v>1715</v>
      </c>
      <c r="G150" s="15" t="s">
        <v>1716</v>
      </c>
      <c r="H150" s="15" t="s">
        <v>1717</v>
      </c>
      <c r="I150" s="15" t="s">
        <v>1718</v>
      </c>
      <c r="J150" s="15" t="s">
        <v>1719</v>
      </c>
      <c r="K150" s="15" t="s">
        <v>1720</v>
      </c>
      <c r="L150" s="15" t="s">
        <v>1721</v>
      </c>
      <c r="M150" s="15" t="s">
        <v>26</v>
      </c>
      <c r="N150" s="15">
        <v>2025</v>
      </c>
      <c r="O150" s="15">
        <v>18</v>
      </c>
      <c r="P150" s="15">
        <v>2</v>
      </c>
      <c r="Q150" s="15">
        <v>449</v>
      </c>
      <c r="R150" s="15">
        <v>471</v>
      </c>
      <c r="S150" s="15" t="s">
        <v>1722</v>
      </c>
      <c r="T150" s="15" t="str">
        <f>HYPERLINK("http://dx.doi.org/10.1007/s12273-024-1217-3","http://dx.doi.org/10.1007/s12273-024-1217-3")</f>
        <v>http://dx.doi.org/10.1007/s12273-024-1217-3</v>
      </c>
      <c r="U150" s="15" t="s">
        <v>1526</v>
      </c>
      <c r="V150" s="15" t="s">
        <v>1723</v>
      </c>
    </row>
    <row r="151" spans="1:22" x14ac:dyDescent="0.4">
      <c r="A151" s="15" t="s">
        <v>1691</v>
      </c>
      <c r="B151" s="15" t="s">
        <v>1692</v>
      </c>
      <c r="C151" s="15" t="s">
        <v>1693</v>
      </c>
      <c r="D151" s="15" t="s">
        <v>12</v>
      </c>
      <c r="E151" s="15" t="s">
        <v>262</v>
      </c>
      <c r="F151" s="15" t="s">
        <v>1694</v>
      </c>
      <c r="G151" s="15" t="s">
        <v>11</v>
      </c>
      <c r="H151" s="15" t="s">
        <v>1695</v>
      </c>
      <c r="I151" s="15" t="s">
        <v>1696</v>
      </c>
      <c r="J151" s="15" t="s">
        <v>1641</v>
      </c>
      <c r="K151" s="15" t="s">
        <v>1697</v>
      </c>
      <c r="L151" s="15" t="s">
        <v>1698</v>
      </c>
      <c r="M151" s="15" t="s">
        <v>26</v>
      </c>
      <c r="N151" s="15">
        <v>2025</v>
      </c>
      <c r="O151" s="15">
        <v>18</v>
      </c>
      <c r="P151" s="15">
        <v>2</v>
      </c>
      <c r="Q151" s="15">
        <v>353</v>
      </c>
      <c r="R151" s="15">
        <v>370</v>
      </c>
      <c r="S151" s="15" t="s">
        <v>1699</v>
      </c>
      <c r="T151" s="15" t="str">
        <f>HYPERLINK("http://dx.doi.org/10.1007/s12273-024-1220-8","http://dx.doi.org/10.1007/s12273-024-1220-8")</f>
        <v>http://dx.doi.org/10.1007/s12273-024-1220-8</v>
      </c>
      <c r="U151" s="15" t="s">
        <v>1526</v>
      </c>
      <c r="V151" s="15" t="s">
        <v>1700</v>
      </c>
    </row>
    <row r="152" spans="1:22" x14ac:dyDescent="0.4">
      <c r="A152" s="15" t="s">
        <v>1598</v>
      </c>
      <c r="B152" s="15" t="s">
        <v>1599</v>
      </c>
      <c r="C152" s="15" t="s">
        <v>1600</v>
      </c>
      <c r="D152" s="15" t="s">
        <v>12</v>
      </c>
      <c r="E152" s="15" t="s">
        <v>262</v>
      </c>
      <c r="F152" s="15" t="s">
        <v>1601</v>
      </c>
      <c r="G152" s="15" t="s">
        <v>1602</v>
      </c>
      <c r="H152" s="15" t="s">
        <v>1603</v>
      </c>
      <c r="I152" s="15" t="s">
        <v>1604</v>
      </c>
      <c r="J152" s="15" t="s">
        <v>1605</v>
      </c>
      <c r="K152" s="15" t="s">
        <v>1606</v>
      </c>
      <c r="L152" s="15" t="s">
        <v>1607</v>
      </c>
      <c r="M152" s="15" t="s">
        <v>24</v>
      </c>
      <c r="N152" s="15">
        <v>2025</v>
      </c>
      <c r="O152" s="15">
        <v>18</v>
      </c>
      <c r="P152" s="15">
        <v>1</v>
      </c>
      <c r="Q152" s="15">
        <v>141</v>
      </c>
      <c r="R152" s="15">
        <v>159</v>
      </c>
      <c r="S152" s="15" t="s">
        <v>1608</v>
      </c>
      <c r="T152" s="15" t="str">
        <f>HYPERLINK("http://dx.doi.org/10.1007/s12273-024-1199-1","http://dx.doi.org/10.1007/s12273-024-1199-1")</f>
        <v>http://dx.doi.org/10.1007/s12273-024-1199-1</v>
      </c>
      <c r="U152" s="15" t="s">
        <v>1526</v>
      </c>
      <c r="V152" s="15" t="s">
        <v>1609</v>
      </c>
    </row>
    <row r="153" spans="1:22" x14ac:dyDescent="0.4">
      <c r="A153" s="15" t="s">
        <v>1610</v>
      </c>
      <c r="B153" s="15" t="s">
        <v>1611</v>
      </c>
      <c r="C153" s="15" t="s">
        <v>1612</v>
      </c>
      <c r="D153" s="15" t="s">
        <v>12</v>
      </c>
      <c r="E153" s="15" t="s">
        <v>262</v>
      </c>
      <c r="F153" s="15" t="s">
        <v>1613</v>
      </c>
      <c r="G153" s="15" t="s">
        <v>1614</v>
      </c>
      <c r="H153" s="15" t="s">
        <v>1615</v>
      </c>
      <c r="I153" s="15" t="s">
        <v>1616</v>
      </c>
      <c r="J153" s="15" t="s">
        <v>1617</v>
      </c>
      <c r="K153" s="15" t="s">
        <v>1618</v>
      </c>
      <c r="L153" s="15" t="s">
        <v>1619</v>
      </c>
      <c r="M153" s="15" t="s">
        <v>24</v>
      </c>
      <c r="N153" s="15">
        <v>2025</v>
      </c>
      <c r="O153" s="15">
        <v>18</v>
      </c>
      <c r="P153" s="15">
        <v>1</v>
      </c>
      <c r="Q153" s="15">
        <v>161</v>
      </c>
      <c r="R153" s="15">
        <v>181</v>
      </c>
      <c r="S153" s="15" t="s">
        <v>1620</v>
      </c>
      <c r="T153" s="15" t="str">
        <f>HYPERLINK("http://dx.doi.org/10.1007/s12273-024-1200-z","http://dx.doi.org/10.1007/s12273-024-1200-z")</f>
        <v>http://dx.doi.org/10.1007/s12273-024-1200-z</v>
      </c>
      <c r="U153" s="15" t="s">
        <v>1526</v>
      </c>
      <c r="V153" s="15" t="s">
        <v>1621</v>
      </c>
    </row>
    <row r="154" spans="1:22" x14ac:dyDescent="0.4">
      <c r="A154" s="15" t="s">
        <v>1681</v>
      </c>
      <c r="B154" s="15" t="s">
        <v>1682</v>
      </c>
      <c r="C154" s="15" t="s">
        <v>1683</v>
      </c>
      <c r="D154" s="15" t="s">
        <v>12</v>
      </c>
      <c r="E154" s="15" t="s">
        <v>262</v>
      </c>
      <c r="F154" s="15" t="s">
        <v>1684</v>
      </c>
      <c r="G154" s="15" t="s">
        <v>1685</v>
      </c>
      <c r="H154" s="15" t="s">
        <v>1686</v>
      </c>
      <c r="I154" s="15" t="s">
        <v>1687</v>
      </c>
      <c r="J154" s="15" t="s">
        <v>3448</v>
      </c>
      <c r="K154" s="15" t="s">
        <v>930</v>
      </c>
      <c r="L154" s="15" t="s">
        <v>280</v>
      </c>
      <c r="M154" s="15" t="s">
        <v>26</v>
      </c>
      <c r="N154" s="15">
        <v>2025</v>
      </c>
      <c r="O154" s="15">
        <v>18</v>
      </c>
      <c r="P154" s="15">
        <v>2</v>
      </c>
      <c r="Q154" s="15">
        <v>321</v>
      </c>
      <c r="R154" s="15">
        <v>337</v>
      </c>
      <c r="S154" s="15" t="s">
        <v>1689</v>
      </c>
      <c r="T154" s="15" t="str">
        <f>HYPERLINK("http://dx.doi.org/10.1007/s12273-024-1212-8","http://dx.doi.org/10.1007/s12273-024-1212-8")</f>
        <v>http://dx.doi.org/10.1007/s12273-024-1212-8</v>
      </c>
      <c r="U154" s="15" t="s">
        <v>1526</v>
      </c>
      <c r="V154" s="15" t="s">
        <v>1690</v>
      </c>
    </row>
    <row r="155" spans="1:22" x14ac:dyDescent="0.4">
      <c r="A155" s="15" t="s">
        <v>1622</v>
      </c>
      <c r="B155" s="15" t="s">
        <v>1623</v>
      </c>
      <c r="C155" s="15" t="s">
        <v>1624</v>
      </c>
      <c r="D155" s="15" t="s">
        <v>12</v>
      </c>
      <c r="E155" s="15" t="s">
        <v>262</v>
      </c>
      <c r="F155" s="15" t="s">
        <v>1625</v>
      </c>
      <c r="G155" s="15" t="s">
        <v>1626</v>
      </c>
      <c r="H155" s="15" t="s">
        <v>1627</v>
      </c>
      <c r="I155" s="15" t="s">
        <v>1628</v>
      </c>
      <c r="J155" s="15" t="s">
        <v>1629</v>
      </c>
      <c r="K155" s="15" t="s">
        <v>1630</v>
      </c>
      <c r="L155" s="15" t="s">
        <v>1631</v>
      </c>
      <c r="M155" s="15" t="s">
        <v>24</v>
      </c>
      <c r="N155" s="15">
        <v>2025</v>
      </c>
      <c r="O155" s="15">
        <v>18</v>
      </c>
      <c r="P155" s="15">
        <v>1</v>
      </c>
      <c r="Q155" s="15">
        <v>183</v>
      </c>
      <c r="R155" s="15">
        <v>206</v>
      </c>
      <c r="S155" s="15" t="s">
        <v>1632</v>
      </c>
      <c r="T155" s="15" t="str">
        <f>HYPERLINK("http://dx.doi.org/10.1007/s12273-024-1206-6","http://dx.doi.org/10.1007/s12273-024-1206-6")</f>
        <v>http://dx.doi.org/10.1007/s12273-024-1206-6</v>
      </c>
      <c r="U155" s="15" t="s">
        <v>1526</v>
      </c>
      <c r="V155" s="15" t="s">
        <v>1633</v>
      </c>
    </row>
    <row r="156" spans="1:22" x14ac:dyDescent="0.4">
      <c r="A156" s="15" t="s">
        <v>1669</v>
      </c>
      <c r="B156" s="15" t="s">
        <v>1670</v>
      </c>
      <c r="C156" s="15" t="s">
        <v>1671</v>
      </c>
      <c r="D156" s="15" t="s">
        <v>12</v>
      </c>
      <c r="E156" s="15" t="s">
        <v>262</v>
      </c>
      <c r="F156" s="15" t="s">
        <v>1672</v>
      </c>
      <c r="G156" s="15" t="s">
        <v>1673</v>
      </c>
      <c r="H156" s="15" t="s">
        <v>1674</v>
      </c>
      <c r="I156" s="15" t="s">
        <v>1675</v>
      </c>
      <c r="J156" s="15" t="s">
        <v>1676</v>
      </c>
      <c r="K156" s="15" t="s">
        <v>1677</v>
      </c>
      <c r="L156" s="15" t="s">
        <v>1678</v>
      </c>
      <c r="M156" s="15" t="s">
        <v>26</v>
      </c>
      <c r="N156" s="15">
        <v>2025</v>
      </c>
      <c r="O156" s="15">
        <v>18</v>
      </c>
      <c r="P156" s="15">
        <v>2</v>
      </c>
      <c r="Q156" s="15">
        <v>295</v>
      </c>
      <c r="R156" s="15">
        <v>320</v>
      </c>
      <c r="S156" s="15" t="s">
        <v>1679</v>
      </c>
      <c r="T156" s="15" t="str">
        <f>HYPERLINK("http://dx.doi.org/10.1007/s12273-024-1208-4","http://dx.doi.org/10.1007/s12273-024-1208-4")</f>
        <v>http://dx.doi.org/10.1007/s12273-024-1208-4</v>
      </c>
      <c r="U156" s="15" t="s">
        <v>1526</v>
      </c>
      <c r="V156" s="15" t="s">
        <v>1680</v>
      </c>
    </row>
    <row r="157" spans="1:22" x14ac:dyDescent="0.4">
      <c r="A157" s="15" t="s">
        <v>1576</v>
      </c>
      <c r="B157" s="15" t="s">
        <v>1577</v>
      </c>
      <c r="C157" s="15" t="s">
        <v>1578</v>
      </c>
      <c r="D157" s="15" t="s">
        <v>12</v>
      </c>
      <c r="E157" s="15" t="s">
        <v>262</v>
      </c>
      <c r="F157" s="15" t="s">
        <v>1579</v>
      </c>
      <c r="G157" s="15" t="s">
        <v>1580</v>
      </c>
      <c r="H157" s="15" t="s">
        <v>1581</v>
      </c>
      <c r="I157" s="15" t="s">
        <v>1582</v>
      </c>
      <c r="J157" s="15" t="s">
        <v>1583</v>
      </c>
      <c r="K157" s="15" t="s">
        <v>1584</v>
      </c>
      <c r="L157" s="15" t="s">
        <v>1108</v>
      </c>
      <c r="M157" s="15" t="s">
        <v>24</v>
      </c>
      <c r="N157" s="15">
        <v>2025</v>
      </c>
      <c r="O157" s="15">
        <v>18</v>
      </c>
      <c r="P157" s="15">
        <v>1</v>
      </c>
      <c r="Q157" s="15">
        <v>99</v>
      </c>
      <c r="R157" s="15">
        <v>121</v>
      </c>
      <c r="S157" s="15" t="s">
        <v>1585</v>
      </c>
      <c r="T157" s="15" t="str">
        <f>HYPERLINK("http://dx.doi.org/10.1007/s12273-024-1195-5","http://dx.doi.org/10.1007/s12273-024-1195-5")</f>
        <v>http://dx.doi.org/10.1007/s12273-024-1195-5</v>
      </c>
      <c r="U157" s="15" t="s">
        <v>1526</v>
      </c>
      <c r="V157" s="15" t="s">
        <v>1586</v>
      </c>
    </row>
    <row r="158" spans="1:22" x14ac:dyDescent="0.4">
      <c r="A158" s="15" t="s">
        <v>1634</v>
      </c>
      <c r="B158" s="15" t="s">
        <v>1635</v>
      </c>
      <c r="C158" s="15" t="s">
        <v>1636</v>
      </c>
      <c r="D158" s="15" t="s">
        <v>12</v>
      </c>
      <c r="E158" s="15" t="s">
        <v>262</v>
      </c>
      <c r="F158" s="15" t="s">
        <v>1637</v>
      </c>
      <c r="G158" s="15" t="s">
        <v>1638</v>
      </c>
      <c r="H158" s="15" t="s">
        <v>1639</v>
      </c>
      <c r="I158" s="15" t="s">
        <v>1640</v>
      </c>
      <c r="J158" s="15" t="s">
        <v>1641</v>
      </c>
      <c r="K158" s="15" t="s">
        <v>1177</v>
      </c>
      <c r="L158" s="15" t="s">
        <v>1178</v>
      </c>
      <c r="M158" s="15" t="s">
        <v>24</v>
      </c>
      <c r="N158" s="15">
        <v>2025</v>
      </c>
      <c r="O158" s="15">
        <v>18</v>
      </c>
      <c r="P158" s="15">
        <v>1</v>
      </c>
      <c r="Q158" s="15">
        <v>207</v>
      </c>
      <c r="R158" s="15">
        <v>223</v>
      </c>
      <c r="S158" s="15" t="s">
        <v>1642</v>
      </c>
      <c r="T158" s="15" t="str">
        <f>HYPERLINK("http://dx.doi.org/10.1007/s12273-024-1211-9","http://dx.doi.org/10.1007/s12273-024-1211-9")</f>
        <v>http://dx.doi.org/10.1007/s12273-024-1211-9</v>
      </c>
      <c r="U158" s="15" t="s">
        <v>1526</v>
      </c>
      <c r="V158" s="15" t="s">
        <v>1643</v>
      </c>
    </row>
    <row r="159" spans="1:22" x14ac:dyDescent="0.4">
      <c r="A159" s="15" t="s">
        <v>1552</v>
      </c>
      <c r="B159" s="15" t="s">
        <v>1553</v>
      </c>
      <c r="C159" s="15" t="s">
        <v>1554</v>
      </c>
      <c r="D159" s="15" t="s">
        <v>12</v>
      </c>
      <c r="E159" s="15" t="s">
        <v>262</v>
      </c>
      <c r="F159" s="15" t="s">
        <v>1555</v>
      </c>
      <c r="G159" s="15" t="s">
        <v>1556</v>
      </c>
      <c r="H159" s="15" t="s">
        <v>1557</v>
      </c>
      <c r="I159" s="15" t="s">
        <v>1558</v>
      </c>
      <c r="J159" s="15" t="s">
        <v>1559</v>
      </c>
      <c r="K159" s="15" t="s">
        <v>1560</v>
      </c>
      <c r="L159" s="15" t="s">
        <v>1561</v>
      </c>
      <c r="M159" s="15" t="s">
        <v>24</v>
      </c>
      <c r="N159" s="15">
        <v>2025</v>
      </c>
      <c r="O159" s="15">
        <v>18</v>
      </c>
      <c r="P159" s="15">
        <v>1</v>
      </c>
      <c r="Q159" s="15">
        <v>65</v>
      </c>
      <c r="R159" s="15">
        <v>85</v>
      </c>
      <c r="S159" s="15" t="s">
        <v>1562</v>
      </c>
      <c r="T159" s="15" t="str">
        <f>HYPERLINK("http://dx.doi.org/10.1007/s12273-024-1216-4","http://dx.doi.org/10.1007/s12273-024-1216-4")</f>
        <v>http://dx.doi.org/10.1007/s12273-024-1216-4</v>
      </c>
      <c r="U159" s="15" t="s">
        <v>1526</v>
      </c>
      <c r="V159" s="15" t="s">
        <v>1563</v>
      </c>
    </row>
    <row r="160" spans="1:22" x14ac:dyDescent="0.4">
      <c r="A160" s="15" t="s">
        <v>1540</v>
      </c>
      <c r="B160" s="15" t="s">
        <v>1541</v>
      </c>
      <c r="C160" s="15" t="s">
        <v>1542</v>
      </c>
      <c r="D160" s="15" t="s">
        <v>12</v>
      </c>
      <c r="E160" s="15" t="s">
        <v>262</v>
      </c>
      <c r="F160" s="15" t="s">
        <v>1543</v>
      </c>
      <c r="G160" s="15" t="s">
        <v>1544</v>
      </c>
      <c r="H160" s="15" t="s">
        <v>1545</v>
      </c>
      <c r="I160" s="15" t="s">
        <v>1546</v>
      </c>
      <c r="J160" s="15" t="s">
        <v>1547</v>
      </c>
      <c r="K160" s="15" t="s">
        <v>1548</v>
      </c>
      <c r="L160" s="15" t="s">
        <v>1549</v>
      </c>
      <c r="M160" s="15" t="s">
        <v>24</v>
      </c>
      <c r="N160" s="15">
        <v>2025</v>
      </c>
      <c r="O160" s="15">
        <v>18</v>
      </c>
      <c r="P160" s="15">
        <v>1</v>
      </c>
      <c r="Q160" s="15">
        <v>47</v>
      </c>
      <c r="R160" s="15">
        <v>63</v>
      </c>
      <c r="S160" s="15" t="s">
        <v>1550</v>
      </c>
      <c r="T160" s="15" t="str">
        <f>HYPERLINK("http://dx.doi.org/10.1007/s12273-024-1205-7","http://dx.doi.org/10.1007/s12273-024-1205-7")</f>
        <v>http://dx.doi.org/10.1007/s12273-024-1205-7</v>
      </c>
      <c r="U160" s="15" t="s">
        <v>1236</v>
      </c>
      <c r="V160" s="15" t="s">
        <v>1551</v>
      </c>
    </row>
    <row r="161" spans="1:22" x14ac:dyDescent="0.4">
      <c r="A161" s="15" t="s">
        <v>1564</v>
      </c>
      <c r="B161" s="15" t="s">
        <v>1565</v>
      </c>
      <c r="C161" s="15" t="s">
        <v>1566</v>
      </c>
      <c r="D161" s="15" t="s">
        <v>12</v>
      </c>
      <c r="E161" s="15" t="s">
        <v>262</v>
      </c>
      <c r="F161" s="15" t="s">
        <v>1567</v>
      </c>
      <c r="G161" s="15" t="s">
        <v>1568</v>
      </c>
      <c r="H161" s="15" t="s">
        <v>1569</v>
      </c>
      <c r="I161" s="15" t="s">
        <v>1570</v>
      </c>
      <c r="J161" s="15" t="s">
        <v>1571</v>
      </c>
      <c r="K161" s="15" t="s">
        <v>1572</v>
      </c>
      <c r="L161" s="15" t="s">
        <v>1573</v>
      </c>
      <c r="M161" s="15" t="s">
        <v>24</v>
      </c>
      <c r="N161" s="15">
        <v>2025</v>
      </c>
      <c r="O161" s="15">
        <v>18</v>
      </c>
      <c r="P161" s="15">
        <v>1</v>
      </c>
      <c r="Q161" s="15">
        <v>87</v>
      </c>
      <c r="R161" s="15">
        <v>98</v>
      </c>
      <c r="S161" s="15" t="s">
        <v>1574</v>
      </c>
      <c r="T161" s="15" t="str">
        <f>HYPERLINK("http://dx.doi.org/10.1007/s12273-024-1188-4","http://dx.doi.org/10.1007/s12273-024-1188-4")</f>
        <v>http://dx.doi.org/10.1007/s12273-024-1188-4</v>
      </c>
      <c r="U161" s="15" t="s">
        <v>1236</v>
      </c>
      <c r="V161" s="15" t="s">
        <v>1575</v>
      </c>
    </row>
    <row r="162" spans="1:22" x14ac:dyDescent="0.4">
      <c r="A162" s="15" t="s">
        <v>1644</v>
      </c>
      <c r="B162" s="15" t="s">
        <v>1645</v>
      </c>
      <c r="C162" s="15" t="s">
        <v>1646</v>
      </c>
      <c r="D162" s="15" t="s">
        <v>12</v>
      </c>
      <c r="E162" s="15" t="s">
        <v>262</v>
      </c>
      <c r="F162" s="15" t="s">
        <v>1647</v>
      </c>
      <c r="G162" s="15" t="s">
        <v>1648</v>
      </c>
      <c r="H162" s="15" t="s">
        <v>1649</v>
      </c>
      <c r="I162" s="15" t="s">
        <v>1650</v>
      </c>
      <c r="J162" s="15" t="s">
        <v>1651</v>
      </c>
      <c r="K162" s="15" t="s">
        <v>1652</v>
      </c>
      <c r="L162" s="15" t="s">
        <v>1653</v>
      </c>
      <c r="M162" s="15" t="s">
        <v>26</v>
      </c>
      <c r="N162" s="15">
        <v>2025</v>
      </c>
      <c r="O162" s="15">
        <v>18</v>
      </c>
      <c r="P162" s="15">
        <v>2</v>
      </c>
      <c r="Q162" s="15">
        <v>235</v>
      </c>
      <c r="R162" s="15">
        <v>258</v>
      </c>
      <c r="S162" s="15" t="s">
        <v>1655</v>
      </c>
      <c r="T162" s="15" t="str">
        <f>HYPERLINK("http://dx.doi.org/10.1007/s12273-024-1203-9","http://dx.doi.org/10.1007/s12273-024-1203-9")</f>
        <v>http://dx.doi.org/10.1007/s12273-024-1203-9</v>
      </c>
      <c r="U162" s="15" t="s">
        <v>1236</v>
      </c>
      <c r="V162" s="15" t="s">
        <v>1656</v>
      </c>
    </row>
    <row r="163" spans="1:22" x14ac:dyDescent="0.4">
      <c r="A163" s="15" t="s">
        <v>1528</v>
      </c>
      <c r="B163" s="15" t="s">
        <v>1529</v>
      </c>
      <c r="C163" s="15" t="s">
        <v>1530</v>
      </c>
      <c r="D163" s="15" t="s">
        <v>12</v>
      </c>
      <c r="E163" s="15" t="s">
        <v>262</v>
      </c>
      <c r="F163" s="15" t="s">
        <v>1531</v>
      </c>
      <c r="G163" s="15" t="s">
        <v>3449</v>
      </c>
      <c r="H163" s="15" t="s">
        <v>1533</v>
      </c>
      <c r="I163" s="15" t="s">
        <v>1534</v>
      </c>
      <c r="J163" s="15" t="s">
        <v>1535</v>
      </c>
      <c r="K163" s="15" t="s">
        <v>1536</v>
      </c>
      <c r="L163" s="15" t="s">
        <v>1537</v>
      </c>
      <c r="M163" s="15" t="s">
        <v>24</v>
      </c>
      <c r="N163" s="15">
        <v>2025</v>
      </c>
      <c r="O163" s="15">
        <v>18</v>
      </c>
      <c r="P163" s="15">
        <v>1</v>
      </c>
      <c r="Q163" s="15">
        <v>33</v>
      </c>
      <c r="R163" s="15">
        <v>46</v>
      </c>
      <c r="S163" s="15" t="s">
        <v>1538</v>
      </c>
      <c r="T163" s="15" t="str">
        <f>HYPERLINK("http://dx.doi.org/10.1007/s12273-024-1207-5","http://dx.doi.org/10.1007/s12273-024-1207-5")</f>
        <v>http://dx.doi.org/10.1007/s12273-024-1207-5</v>
      </c>
      <c r="U163" s="15" t="s">
        <v>1236</v>
      </c>
      <c r="V163" s="15" t="s">
        <v>1539</v>
      </c>
    </row>
    <row r="164" spans="1:22" x14ac:dyDescent="0.4">
      <c r="A164" s="15" t="s">
        <v>3470</v>
      </c>
      <c r="B164" s="15" t="s">
        <v>3471</v>
      </c>
      <c r="C164" s="15" t="s">
        <v>3472</v>
      </c>
      <c r="D164" s="15" t="s">
        <v>12</v>
      </c>
      <c r="E164" s="15" t="s">
        <v>268</v>
      </c>
      <c r="F164" s="15" t="s">
        <v>3473</v>
      </c>
      <c r="G164" s="15" t="s">
        <v>3474</v>
      </c>
      <c r="H164" s="15" t="s">
        <v>3475</v>
      </c>
      <c r="I164" s="15" t="s">
        <v>3476</v>
      </c>
      <c r="J164" s="15" t="s">
        <v>3477</v>
      </c>
      <c r="K164" s="15" t="s">
        <v>1522</v>
      </c>
      <c r="L164" s="15" t="s">
        <v>1523</v>
      </c>
      <c r="M164" s="15" t="s">
        <v>16</v>
      </c>
      <c r="N164" s="15">
        <v>2025</v>
      </c>
      <c r="O164" s="15">
        <v>18</v>
      </c>
      <c r="P164" s="15">
        <v>9</v>
      </c>
      <c r="Q164" s="15">
        <v>2219</v>
      </c>
      <c r="R164" s="15">
        <v>2225</v>
      </c>
      <c r="S164" s="15" t="s">
        <v>3478</v>
      </c>
      <c r="T164" s="15" t="str">
        <f>HYPERLINK("http://dx.doi.org/10.1007/s12273-025-1329-4","http://dx.doi.org/10.1007/s12273-025-1329-4")</f>
        <v>http://dx.doi.org/10.1007/s12273-025-1329-4</v>
      </c>
      <c r="U164" s="15" t="s">
        <v>2097</v>
      </c>
      <c r="V164" s="15" t="s">
        <v>3479</v>
      </c>
    </row>
    <row r="165" spans="1:22" x14ac:dyDescent="0.4">
      <c r="A165" s="15" t="s">
        <v>3480</v>
      </c>
      <c r="B165" s="15" t="s">
        <v>3481</v>
      </c>
      <c r="C165" s="15" t="s">
        <v>3482</v>
      </c>
      <c r="D165" s="15" t="s">
        <v>12</v>
      </c>
      <c r="E165" s="15" t="s">
        <v>268</v>
      </c>
      <c r="F165" s="15" t="s">
        <v>3483</v>
      </c>
      <c r="G165" s="15" t="s">
        <v>3484</v>
      </c>
      <c r="H165" s="15" t="s">
        <v>3485</v>
      </c>
      <c r="I165" s="15" t="s">
        <v>3486</v>
      </c>
      <c r="J165" s="15" t="s">
        <v>392</v>
      </c>
      <c r="K165" s="15" t="s">
        <v>3487</v>
      </c>
      <c r="L165" s="15" t="s">
        <v>3488</v>
      </c>
      <c r="M165" s="15" t="s">
        <v>19</v>
      </c>
      <c r="N165" s="15">
        <v>2025</v>
      </c>
      <c r="O165" s="15">
        <v>18</v>
      </c>
      <c r="P165" s="15">
        <v>8</v>
      </c>
      <c r="Q165" s="15">
        <v>1903</v>
      </c>
      <c r="R165" s="15">
        <v>1907</v>
      </c>
      <c r="S165" s="15" t="s">
        <v>3489</v>
      </c>
      <c r="T165" s="15" t="str">
        <f>HYPERLINK("http://dx.doi.org/10.1007/s12273-025-1316-9","http://dx.doi.org/10.1007/s12273-025-1316-9")</f>
        <v>http://dx.doi.org/10.1007/s12273-025-1316-9</v>
      </c>
      <c r="U165" s="15" t="s">
        <v>2417</v>
      </c>
      <c r="V165" s="15" t="s">
        <v>3490</v>
      </c>
    </row>
    <row r="166" spans="1:22" x14ac:dyDescent="0.4">
      <c r="A166" s="15" t="s">
        <v>3491</v>
      </c>
      <c r="B166" s="15" t="s">
        <v>3492</v>
      </c>
      <c r="C166" s="15" t="s">
        <v>3493</v>
      </c>
      <c r="D166" s="15" t="s">
        <v>12</v>
      </c>
      <c r="E166" s="15" t="s">
        <v>268</v>
      </c>
      <c r="F166" s="15" t="s">
        <v>3494</v>
      </c>
      <c r="G166" s="15" t="s">
        <v>11</v>
      </c>
      <c r="H166" s="15" t="s">
        <v>3495</v>
      </c>
      <c r="I166" s="15" t="s">
        <v>3496</v>
      </c>
      <c r="J166" s="15" t="s">
        <v>3497</v>
      </c>
      <c r="K166" s="15" t="s">
        <v>3498</v>
      </c>
      <c r="L166" s="15" t="s">
        <v>3499</v>
      </c>
      <c r="M166" s="15" t="s">
        <v>20</v>
      </c>
      <c r="N166" s="15">
        <v>2025</v>
      </c>
      <c r="O166" s="15">
        <v>18</v>
      </c>
      <c r="P166" s="15">
        <v>7</v>
      </c>
      <c r="Q166" s="15">
        <v>1581</v>
      </c>
      <c r="R166" s="15">
        <v>1585</v>
      </c>
      <c r="S166" s="15" t="s">
        <v>3500</v>
      </c>
      <c r="T166" s="15" t="str">
        <f>HYPERLINK("http://dx.doi.org/10.1007/s12273-025-1314-y","http://dx.doi.org/10.1007/s12273-025-1314-y")</f>
        <v>http://dx.doi.org/10.1007/s12273-025-1314-y</v>
      </c>
      <c r="U166" s="15" t="s">
        <v>2599</v>
      </c>
      <c r="V166" s="15" t="s">
        <v>3501</v>
      </c>
    </row>
    <row r="167" spans="1:22" x14ac:dyDescent="0.4">
      <c r="A167" s="15" t="s">
        <v>3502</v>
      </c>
      <c r="B167" s="15" t="s">
        <v>3503</v>
      </c>
      <c r="C167" s="15" t="s">
        <v>3504</v>
      </c>
      <c r="D167" s="15" t="s">
        <v>12</v>
      </c>
      <c r="E167" s="15" t="s">
        <v>268</v>
      </c>
      <c r="F167" s="15" t="s">
        <v>3505</v>
      </c>
      <c r="G167" s="15" t="s">
        <v>11</v>
      </c>
      <c r="H167" s="15" t="s">
        <v>3506</v>
      </c>
      <c r="I167" s="15" t="s">
        <v>3507</v>
      </c>
      <c r="J167" s="15" t="s">
        <v>3508</v>
      </c>
      <c r="K167" s="15" t="s">
        <v>3509</v>
      </c>
      <c r="L167" s="15" t="s">
        <v>3510</v>
      </c>
      <c r="M167" s="15" t="s">
        <v>26</v>
      </c>
      <c r="N167" s="15">
        <v>2025</v>
      </c>
      <c r="O167" s="15">
        <v>18</v>
      </c>
      <c r="P167" s="15">
        <v>2</v>
      </c>
      <c r="Q167" s="15">
        <v>225</v>
      </c>
      <c r="R167" s="15">
        <v>234</v>
      </c>
      <c r="S167" s="15" t="s">
        <v>3511</v>
      </c>
      <c r="T167" s="15" t="str">
        <f>HYPERLINK("http://dx.doi.org/10.1007/s12273-025-1235-9","http://dx.doi.org/10.1007/s12273-025-1235-9")</f>
        <v>http://dx.doi.org/10.1007/s12273-025-1235-9</v>
      </c>
      <c r="U167" s="15" t="s">
        <v>3265</v>
      </c>
      <c r="V167" s="15" t="s">
        <v>3512</v>
      </c>
    </row>
    <row r="168" spans="1:22" x14ac:dyDescent="0.4">
      <c r="A168" s="15" t="s">
        <v>3515</v>
      </c>
      <c r="B168" s="15" t="s">
        <v>3516</v>
      </c>
      <c r="C168" s="15" t="s">
        <v>3517</v>
      </c>
      <c r="D168" s="15" t="s">
        <v>12</v>
      </c>
      <c r="E168" s="15" t="s">
        <v>273</v>
      </c>
      <c r="F168" s="15" t="s">
        <v>3518</v>
      </c>
      <c r="G168" s="15" t="s">
        <v>3519</v>
      </c>
      <c r="H168" s="15" t="s">
        <v>3520</v>
      </c>
      <c r="I168" s="15" t="s">
        <v>3521</v>
      </c>
      <c r="J168" s="15" t="s">
        <v>3522</v>
      </c>
      <c r="K168" s="15" t="s">
        <v>3523</v>
      </c>
      <c r="L168" s="15" t="s">
        <v>3524</v>
      </c>
      <c r="M168" s="15" t="s">
        <v>27</v>
      </c>
      <c r="N168" s="15">
        <v>2025</v>
      </c>
      <c r="O168" s="15">
        <v>18</v>
      </c>
      <c r="P168" s="15">
        <v>12</v>
      </c>
      <c r="Q168" s="15">
        <v>3173</v>
      </c>
      <c r="R168" s="15">
        <v>3200</v>
      </c>
      <c r="S168" s="15" t="s">
        <v>3525</v>
      </c>
      <c r="T168" s="15" t="str">
        <f>HYPERLINK("http://dx.doi.org/10.1007/s12273-025-1366-z","http://dx.doi.org/10.1007/s12273-025-1366-z")</f>
        <v>http://dx.doi.org/10.1007/s12273-025-1366-z</v>
      </c>
      <c r="U168" s="15" t="s">
        <v>1806</v>
      </c>
      <c r="V168" s="15" t="s">
        <v>3526</v>
      </c>
    </row>
    <row r="169" spans="1:22" x14ac:dyDescent="0.4">
      <c r="A169" s="15" t="s">
        <v>3527</v>
      </c>
      <c r="B169" s="15" t="s">
        <v>3528</v>
      </c>
      <c r="C169" s="15" t="s">
        <v>3529</v>
      </c>
      <c r="D169" s="15" t="s">
        <v>12</v>
      </c>
      <c r="E169" s="15" t="s">
        <v>273</v>
      </c>
      <c r="F169" s="15" t="s">
        <v>3530</v>
      </c>
      <c r="G169" s="15" t="s">
        <v>3531</v>
      </c>
      <c r="H169" s="15" t="s">
        <v>3532</v>
      </c>
      <c r="I169" s="15" t="s">
        <v>3533</v>
      </c>
      <c r="J169" s="15" t="s">
        <v>3534</v>
      </c>
      <c r="K169" s="15" t="s">
        <v>940</v>
      </c>
      <c r="L169" s="15" t="s">
        <v>941</v>
      </c>
      <c r="M169" s="15" t="s">
        <v>14</v>
      </c>
      <c r="N169" s="15">
        <v>2025</v>
      </c>
      <c r="O169" s="15">
        <v>18</v>
      </c>
      <c r="P169" s="15">
        <v>11</v>
      </c>
      <c r="Q169" s="15">
        <v>2875</v>
      </c>
      <c r="R169" s="15">
        <v>2898</v>
      </c>
      <c r="S169" s="15" t="s">
        <v>3535</v>
      </c>
      <c r="T169" s="15" t="str">
        <f>HYPERLINK("http://dx.doi.org/10.1007/s12273-025-1324-9","http://dx.doi.org/10.1007/s12273-025-1324-9")</f>
        <v>http://dx.doi.org/10.1007/s12273-025-1324-9</v>
      </c>
      <c r="U169" s="15" t="s">
        <v>1973</v>
      </c>
      <c r="V169" s="15" t="s">
        <v>3536</v>
      </c>
    </row>
    <row r="170" spans="1:22" x14ac:dyDescent="0.4">
      <c r="A170" s="15" t="s">
        <v>3537</v>
      </c>
      <c r="B170" s="15" t="s">
        <v>3538</v>
      </c>
      <c r="C170" s="15" t="s">
        <v>3539</v>
      </c>
      <c r="D170" s="15" t="s">
        <v>12</v>
      </c>
      <c r="E170" s="15" t="s">
        <v>273</v>
      </c>
      <c r="F170" s="15" t="s">
        <v>3540</v>
      </c>
      <c r="G170" s="15" t="s">
        <v>3541</v>
      </c>
      <c r="H170" s="15" t="s">
        <v>3542</v>
      </c>
      <c r="I170" s="15" t="s">
        <v>3543</v>
      </c>
      <c r="J170" s="15" t="s">
        <v>3544</v>
      </c>
      <c r="K170" s="15" t="s">
        <v>3545</v>
      </c>
      <c r="L170" s="15" t="s">
        <v>3546</v>
      </c>
      <c r="M170" s="15" t="s">
        <v>22</v>
      </c>
      <c r="N170" s="15">
        <v>2025</v>
      </c>
      <c r="O170" s="15">
        <v>18</v>
      </c>
      <c r="P170" s="15">
        <v>6</v>
      </c>
      <c r="Q170" s="15">
        <v>1251</v>
      </c>
      <c r="R170" s="15">
        <v>1273</v>
      </c>
      <c r="S170" s="15" t="s">
        <v>3547</v>
      </c>
      <c r="T170" s="15" t="str">
        <f>HYPERLINK("http://dx.doi.org/10.1007/s12273-025-1279-x","http://dx.doi.org/10.1007/s12273-025-1279-x")</f>
        <v>http://dx.doi.org/10.1007/s12273-025-1279-x</v>
      </c>
      <c r="U170" s="15" t="s">
        <v>2756</v>
      </c>
      <c r="V170" s="15" t="s">
        <v>3548</v>
      </c>
    </row>
    <row r="171" spans="1:22" x14ac:dyDescent="0.4">
      <c r="A171" s="15" t="s">
        <v>3549</v>
      </c>
      <c r="B171" s="15" t="s">
        <v>3550</v>
      </c>
      <c r="C171" s="15" t="s">
        <v>3551</v>
      </c>
      <c r="D171" s="15" t="s">
        <v>12</v>
      </c>
      <c r="E171" s="15" t="s">
        <v>273</v>
      </c>
      <c r="F171" s="15" t="s">
        <v>3552</v>
      </c>
      <c r="G171" s="15" t="s">
        <v>3553</v>
      </c>
      <c r="H171" s="15" t="s">
        <v>3554</v>
      </c>
      <c r="I171" s="15" t="s">
        <v>3555</v>
      </c>
      <c r="J171" s="15" t="s">
        <v>3556</v>
      </c>
      <c r="K171" s="15" t="s">
        <v>1548</v>
      </c>
      <c r="L171" s="15" t="s">
        <v>1549</v>
      </c>
      <c r="M171" s="15" t="s">
        <v>21</v>
      </c>
      <c r="N171" s="15">
        <v>2025</v>
      </c>
      <c r="O171" s="15">
        <v>18</v>
      </c>
      <c r="P171" s="15">
        <v>5</v>
      </c>
      <c r="Q171" s="15">
        <v>979</v>
      </c>
      <c r="R171" s="15">
        <v>998</v>
      </c>
      <c r="S171" s="15" t="s">
        <v>3557</v>
      </c>
      <c r="T171" s="15" t="str">
        <f>HYPERLINK("http://dx.doi.org/10.1007/s12273-025-1249-3","http://dx.doi.org/10.1007/s12273-025-1249-3")</f>
        <v>http://dx.doi.org/10.1007/s12273-025-1249-3</v>
      </c>
      <c r="U171" s="15" t="s">
        <v>3039</v>
      </c>
      <c r="V171" s="15" t="s">
        <v>3558</v>
      </c>
    </row>
    <row r="172" spans="1:22" x14ac:dyDescent="0.4">
      <c r="A172" s="15" t="s">
        <v>3559</v>
      </c>
      <c r="B172" s="15" t="s">
        <v>3560</v>
      </c>
      <c r="C172" s="15" t="s">
        <v>3561</v>
      </c>
      <c r="D172" s="15" t="s">
        <v>12</v>
      </c>
      <c r="E172" s="15" t="s">
        <v>273</v>
      </c>
      <c r="F172" s="15" t="s">
        <v>3562</v>
      </c>
      <c r="G172" s="15" t="s">
        <v>3563</v>
      </c>
      <c r="H172" s="15" t="s">
        <v>3564</v>
      </c>
      <c r="I172" s="15" t="s">
        <v>3565</v>
      </c>
      <c r="J172" s="15" t="s">
        <v>3566</v>
      </c>
      <c r="K172" s="15" t="s">
        <v>3567</v>
      </c>
      <c r="L172" s="15" t="s">
        <v>357</v>
      </c>
      <c r="M172" s="15" t="s">
        <v>23</v>
      </c>
      <c r="N172" s="15">
        <v>2025</v>
      </c>
      <c r="O172" s="15">
        <v>18</v>
      </c>
      <c r="P172" s="15">
        <v>4</v>
      </c>
      <c r="Q172" s="15">
        <v>721</v>
      </c>
      <c r="R172" s="15">
        <v>746</v>
      </c>
      <c r="S172" s="15" t="s">
        <v>3568</v>
      </c>
      <c r="T172" s="15" t="str">
        <f>HYPERLINK("http://dx.doi.org/10.1007/s12273-025-1230-1","http://dx.doi.org/10.1007/s12273-025-1230-1")</f>
        <v>http://dx.doi.org/10.1007/s12273-025-1230-1</v>
      </c>
      <c r="U172" s="15" t="s">
        <v>3175</v>
      </c>
      <c r="V172" s="15" t="s">
        <v>3569</v>
      </c>
    </row>
    <row r="173" spans="1:22" x14ac:dyDescent="0.4">
      <c r="A173" s="15" t="s">
        <v>1657</v>
      </c>
      <c r="B173" s="15" t="s">
        <v>1658</v>
      </c>
      <c r="C173" s="15" t="s">
        <v>1659</v>
      </c>
      <c r="D173" s="15" t="s">
        <v>12</v>
      </c>
      <c r="E173" s="15" t="s">
        <v>273</v>
      </c>
      <c r="F173" s="15" t="s">
        <v>1660</v>
      </c>
      <c r="G173" s="15" t="s">
        <v>1661</v>
      </c>
      <c r="H173" s="15" t="s">
        <v>1662</v>
      </c>
      <c r="I173" s="15" t="s">
        <v>1663</v>
      </c>
      <c r="J173" s="15" t="s">
        <v>1664</v>
      </c>
      <c r="K173" s="15" t="s">
        <v>1665</v>
      </c>
      <c r="L173" s="15" t="s">
        <v>1666</v>
      </c>
      <c r="M173" s="15" t="s">
        <v>26</v>
      </c>
      <c r="N173" s="15">
        <v>2025</v>
      </c>
      <c r="O173" s="15">
        <v>18</v>
      </c>
      <c r="P173" s="15">
        <v>2</v>
      </c>
      <c r="Q173" s="15">
        <v>259</v>
      </c>
      <c r="R173" s="15">
        <v>279</v>
      </c>
      <c r="S173" s="15" t="s">
        <v>1667</v>
      </c>
      <c r="T173" s="15" t="str">
        <f>HYPERLINK("http://dx.doi.org/10.1007/s12273-024-1210-x","http://dx.doi.org/10.1007/s12273-024-1210-x")</f>
        <v>http://dx.doi.org/10.1007/s12273-024-1210-x</v>
      </c>
      <c r="U173" s="15" t="s">
        <v>1526</v>
      </c>
      <c r="V173" s="15" t="s">
        <v>1668</v>
      </c>
    </row>
    <row r="174" spans="1:22" x14ac:dyDescent="0.4">
      <c r="A174" s="15" t="s">
        <v>1471</v>
      </c>
      <c r="B174" s="15" t="s">
        <v>1472</v>
      </c>
      <c r="C174" s="15" t="s">
        <v>1473</v>
      </c>
      <c r="D174" s="15" t="s">
        <v>12</v>
      </c>
      <c r="E174" s="15" t="s">
        <v>262</v>
      </c>
      <c r="F174" s="15" t="s">
        <v>1474</v>
      </c>
      <c r="G174" s="15" t="s">
        <v>1475</v>
      </c>
      <c r="H174" s="15" t="s">
        <v>1476</v>
      </c>
      <c r="I174" s="15" t="s">
        <v>1477</v>
      </c>
      <c r="J174" s="15" t="s">
        <v>439</v>
      </c>
      <c r="K174" s="15" t="s">
        <v>1478</v>
      </c>
      <c r="L174" s="15" t="s">
        <v>1479</v>
      </c>
      <c r="M174" s="15" t="s">
        <v>27</v>
      </c>
      <c r="N174" s="15">
        <v>2024</v>
      </c>
      <c r="O174" s="15">
        <v>17</v>
      </c>
      <c r="P174" s="15">
        <v>12</v>
      </c>
      <c r="Q174" s="15">
        <v>2297</v>
      </c>
      <c r="R174" s="15">
        <v>2309</v>
      </c>
      <c r="S174" s="15" t="s">
        <v>1480</v>
      </c>
      <c r="T174" s="15" t="str">
        <f>HYPERLINK("http://dx.doi.org/10.1007/s12273-024-1201-y","http://dx.doi.org/10.1007/s12273-024-1201-y")</f>
        <v>http://dx.doi.org/10.1007/s12273-024-1201-y</v>
      </c>
      <c r="U174" s="15" t="s">
        <v>1236</v>
      </c>
      <c r="V174" s="15" t="s">
        <v>1481</v>
      </c>
    </row>
    <row r="175" spans="1:22" x14ac:dyDescent="0.4">
      <c r="A175" s="15" t="s">
        <v>1459</v>
      </c>
      <c r="B175" s="15" t="s">
        <v>1460</v>
      </c>
      <c r="C175" s="15" t="s">
        <v>1461</v>
      </c>
      <c r="D175" s="15" t="s">
        <v>12</v>
      </c>
      <c r="E175" s="15" t="s">
        <v>262</v>
      </c>
      <c r="F175" s="15" t="s">
        <v>1462</v>
      </c>
      <c r="G175" s="15" t="s">
        <v>1463</v>
      </c>
      <c r="H175" s="15" t="s">
        <v>1464</v>
      </c>
      <c r="I175" s="15" t="s">
        <v>1465</v>
      </c>
      <c r="J175" s="15" t="s">
        <v>1466</v>
      </c>
      <c r="K175" s="15" t="s">
        <v>1467</v>
      </c>
      <c r="L175" s="15" t="s">
        <v>1468</v>
      </c>
      <c r="M175" s="15" t="s">
        <v>27</v>
      </c>
      <c r="N175" s="15">
        <v>2024</v>
      </c>
      <c r="O175" s="15">
        <v>17</v>
      </c>
      <c r="P175" s="15">
        <v>12</v>
      </c>
      <c r="Q175" s="15">
        <v>2281</v>
      </c>
      <c r="R175" s="15">
        <v>2295</v>
      </c>
      <c r="S175" s="15" t="s">
        <v>1469</v>
      </c>
      <c r="T175" s="15" t="str">
        <f>HYPERLINK("http://dx.doi.org/10.1007/s12273-024-1194-6","http://dx.doi.org/10.1007/s12273-024-1194-6")</f>
        <v>http://dx.doi.org/10.1007/s12273-024-1194-6</v>
      </c>
      <c r="U175" s="15" t="s">
        <v>1236</v>
      </c>
      <c r="V175" s="15" t="s">
        <v>1470</v>
      </c>
    </row>
    <row r="176" spans="1:22" x14ac:dyDescent="0.4">
      <c r="A176" s="15" t="s">
        <v>1382</v>
      </c>
      <c r="B176" s="15" t="s">
        <v>1383</v>
      </c>
      <c r="C176" s="15" t="s">
        <v>1384</v>
      </c>
      <c r="D176" s="15" t="s">
        <v>12</v>
      </c>
      <c r="E176" s="15" t="s">
        <v>262</v>
      </c>
      <c r="F176" s="15" t="s">
        <v>1385</v>
      </c>
      <c r="G176" s="15" t="s">
        <v>1386</v>
      </c>
      <c r="H176" s="15" t="s">
        <v>1387</v>
      </c>
      <c r="I176" s="15" t="s">
        <v>1388</v>
      </c>
      <c r="J176" s="15" t="s">
        <v>1306</v>
      </c>
      <c r="K176" s="15" t="s">
        <v>1389</v>
      </c>
      <c r="L176" s="15" t="s">
        <v>1390</v>
      </c>
      <c r="M176" s="15" t="s">
        <v>27</v>
      </c>
      <c r="N176" s="15">
        <v>2024</v>
      </c>
      <c r="O176" s="15">
        <v>17</v>
      </c>
      <c r="P176" s="15">
        <v>12</v>
      </c>
      <c r="Q176" s="15">
        <v>2163</v>
      </c>
      <c r="R176" s="15">
        <v>2178</v>
      </c>
      <c r="S176" s="15" t="s">
        <v>1391</v>
      </c>
      <c r="T176" s="15" t="str">
        <f>HYPERLINK("http://dx.doi.org/10.1007/s12273-024-1197-3","http://dx.doi.org/10.1007/s12273-024-1197-3")</f>
        <v>http://dx.doi.org/10.1007/s12273-024-1197-3</v>
      </c>
      <c r="U176" s="15" t="s">
        <v>1236</v>
      </c>
      <c r="V176" s="15" t="s">
        <v>1392</v>
      </c>
    </row>
    <row r="177" spans="1:22" x14ac:dyDescent="0.4">
      <c r="A177" s="15" t="s">
        <v>1482</v>
      </c>
      <c r="B177" s="15" t="s">
        <v>1483</v>
      </c>
      <c r="C177" s="15" t="s">
        <v>1484</v>
      </c>
      <c r="D177" s="15" t="s">
        <v>12</v>
      </c>
      <c r="E177" s="15" t="s">
        <v>262</v>
      </c>
      <c r="F177" s="15" t="s">
        <v>1485</v>
      </c>
      <c r="G177" s="15" t="s">
        <v>1486</v>
      </c>
      <c r="H177" s="15" t="s">
        <v>1487</v>
      </c>
      <c r="I177" s="15" t="s">
        <v>1488</v>
      </c>
      <c r="J177" s="15" t="s">
        <v>282</v>
      </c>
      <c r="K177" s="15" t="s">
        <v>1489</v>
      </c>
      <c r="L177" s="15" t="s">
        <v>1142</v>
      </c>
      <c r="M177" s="15" t="s">
        <v>27</v>
      </c>
      <c r="N177" s="15">
        <v>2024</v>
      </c>
      <c r="O177" s="15">
        <v>17</v>
      </c>
      <c r="P177" s="15">
        <v>12</v>
      </c>
      <c r="Q177" s="15">
        <v>2311</v>
      </c>
      <c r="R177" s="15">
        <v>2329</v>
      </c>
      <c r="S177" s="15" t="s">
        <v>1490</v>
      </c>
      <c r="T177" s="15" t="str">
        <f>HYPERLINK("http://dx.doi.org/10.1007/s12273-024-1182-x","http://dx.doi.org/10.1007/s12273-024-1182-x")</f>
        <v>http://dx.doi.org/10.1007/s12273-024-1182-x</v>
      </c>
      <c r="U177" s="15" t="s">
        <v>1236</v>
      </c>
      <c r="V177" s="15" t="s">
        <v>1491</v>
      </c>
    </row>
    <row r="178" spans="1:22" x14ac:dyDescent="0.4">
      <c r="A178" s="15" t="s">
        <v>1448</v>
      </c>
      <c r="B178" s="15" t="s">
        <v>1449</v>
      </c>
      <c r="C178" s="15" t="s">
        <v>1450</v>
      </c>
      <c r="D178" s="15" t="s">
        <v>12</v>
      </c>
      <c r="E178" s="15" t="s">
        <v>262</v>
      </c>
      <c r="F178" s="15" t="s">
        <v>1451</v>
      </c>
      <c r="G178" s="15" t="s">
        <v>3450</v>
      </c>
      <c r="H178" s="15" t="s">
        <v>1453</v>
      </c>
      <c r="I178" s="15" t="s">
        <v>1454</v>
      </c>
      <c r="J178" s="15" t="s">
        <v>1455</v>
      </c>
      <c r="K178" s="15" t="s">
        <v>1456</v>
      </c>
      <c r="L178" s="15" t="s">
        <v>271</v>
      </c>
      <c r="M178" s="15" t="s">
        <v>27</v>
      </c>
      <c r="N178" s="15">
        <v>2024</v>
      </c>
      <c r="O178" s="15">
        <v>17</v>
      </c>
      <c r="P178" s="15">
        <v>12</v>
      </c>
      <c r="Q178" s="15">
        <v>2263</v>
      </c>
      <c r="R178" s="15">
        <v>2280</v>
      </c>
      <c r="S178" s="15" t="s">
        <v>1457</v>
      </c>
      <c r="T178" s="15" t="str">
        <f>HYPERLINK("http://dx.doi.org/10.1007/s12273-024-1187-5","http://dx.doi.org/10.1007/s12273-024-1187-5")</f>
        <v>http://dx.doi.org/10.1007/s12273-024-1187-5</v>
      </c>
      <c r="U178" s="15" t="s">
        <v>1236</v>
      </c>
      <c r="V178" s="15" t="s">
        <v>1458</v>
      </c>
    </row>
    <row r="179" spans="1:22" x14ac:dyDescent="0.4">
      <c r="A179" s="15" t="s">
        <v>1414</v>
      </c>
      <c r="B179" s="15" t="s">
        <v>1415</v>
      </c>
      <c r="C179" s="15" t="s">
        <v>1416</v>
      </c>
      <c r="D179" s="15" t="s">
        <v>12</v>
      </c>
      <c r="E179" s="15" t="s">
        <v>262</v>
      </c>
      <c r="F179" s="15" t="s">
        <v>1417</v>
      </c>
      <c r="G179" s="15" t="s">
        <v>1418</v>
      </c>
      <c r="H179" s="15" t="s">
        <v>1419</v>
      </c>
      <c r="I179" s="15" t="s">
        <v>1420</v>
      </c>
      <c r="J179" s="15" t="s">
        <v>1421</v>
      </c>
      <c r="K179" s="15" t="s">
        <v>1422</v>
      </c>
      <c r="L179" s="15" t="s">
        <v>1423</v>
      </c>
      <c r="M179" s="15" t="s">
        <v>27</v>
      </c>
      <c r="N179" s="15">
        <v>2024</v>
      </c>
      <c r="O179" s="15">
        <v>17</v>
      </c>
      <c r="P179" s="15">
        <v>12</v>
      </c>
      <c r="Q179" s="15">
        <v>2213</v>
      </c>
      <c r="R179" s="15">
        <v>2232</v>
      </c>
      <c r="S179" s="15" t="s">
        <v>1424</v>
      </c>
      <c r="T179" s="15" t="str">
        <f>HYPERLINK("http://dx.doi.org/10.1007/s12273-024-1202-x","http://dx.doi.org/10.1007/s12273-024-1202-x")</f>
        <v>http://dx.doi.org/10.1007/s12273-024-1202-x</v>
      </c>
      <c r="U179" s="15" t="s">
        <v>1075</v>
      </c>
      <c r="V179" s="15" t="s">
        <v>1425</v>
      </c>
    </row>
    <row r="180" spans="1:22" x14ac:dyDescent="0.4">
      <c r="A180" s="15" t="s">
        <v>1404</v>
      </c>
      <c r="B180" s="15" t="s">
        <v>1405</v>
      </c>
      <c r="C180" s="15" t="s">
        <v>1406</v>
      </c>
      <c r="D180" s="15" t="s">
        <v>12</v>
      </c>
      <c r="E180" s="15" t="s">
        <v>262</v>
      </c>
      <c r="F180" s="15" t="s">
        <v>1407</v>
      </c>
      <c r="G180" s="15" t="s">
        <v>1408</v>
      </c>
      <c r="H180" s="15" t="s">
        <v>1409</v>
      </c>
      <c r="I180" s="15" t="s">
        <v>1410</v>
      </c>
      <c r="J180" s="15" t="s">
        <v>281</v>
      </c>
      <c r="K180" s="15" t="s">
        <v>1411</v>
      </c>
      <c r="L180" s="15" t="s">
        <v>317</v>
      </c>
      <c r="M180" s="15" t="s">
        <v>27</v>
      </c>
      <c r="N180" s="15">
        <v>2024</v>
      </c>
      <c r="O180" s="15">
        <v>17</v>
      </c>
      <c r="P180" s="15">
        <v>12</v>
      </c>
      <c r="Q180" s="15">
        <v>2199</v>
      </c>
      <c r="R180" s="15">
        <v>2212</v>
      </c>
      <c r="S180" s="15" t="s">
        <v>1412</v>
      </c>
      <c r="T180" s="15" t="str">
        <f>HYPERLINK("http://dx.doi.org/10.1007/s12273-024-1189-3","http://dx.doi.org/10.1007/s12273-024-1189-3")</f>
        <v>http://dx.doi.org/10.1007/s12273-024-1189-3</v>
      </c>
      <c r="U180" s="15" t="s">
        <v>1075</v>
      </c>
      <c r="V180" s="15" t="s">
        <v>1413</v>
      </c>
    </row>
    <row r="181" spans="1:22" x14ac:dyDescent="0.4">
      <c r="A181" s="15" t="s">
        <v>1503</v>
      </c>
      <c r="B181" s="15" t="s">
        <v>1504</v>
      </c>
      <c r="C181" s="15" t="s">
        <v>1505</v>
      </c>
      <c r="D181" s="15" t="s">
        <v>12</v>
      </c>
      <c r="E181" s="15" t="s">
        <v>262</v>
      </c>
      <c r="F181" s="15" t="s">
        <v>1506</v>
      </c>
      <c r="G181" s="15" t="s">
        <v>1507</v>
      </c>
      <c r="H181" s="15" t="s">
        <v>1508</v>
      </c>
      <c r="I181" s="15" t="s">
        <v>1509</v>
      </c>
      <c r="J181" s="15" t="s">
        <v>1510</v>
      </c>
      <c r="K181" s="15" t="s">
        <v>1511</v>
      </c>
      <c r="L181" s="15" t="s">
        <v>1512</v>
      </c>
      <c r="M181" s="15" t="s">
        <v>27</v>
      </c>
      <c r="N181" s="15">
        <v>2024</v>
      </c>
      <c r="O181" s="15">
        <v>17</v>
      </c>
      <c r="P181" s="15">
        <v>12</v>
      </c>
      <c r="Q181" s="15">
        <v>2355</v>
      </c>
      <c r="R181" s="15">
        <v>2372</v>
      </c>
      <c r="S181" s="15" t="s">
        <v>1513</v>
      </c>
      <c r="T181" s="15" t="str">
        <f>HYPERLINK("http://dx.doi.org/10.1007/s12273-024-1192-8","http://dx.doi.org/10.1007/s12273-024-1192-8")</f>
        <v>http://dx.doi.org/10.1007/s12273-024-1192-8</v>
      </c>
      <c r="U181" s="15" t="s">
        <v>1075</v>
      </c>
      <c r="V181" s="15" t="s">
        <v>1514</v>
      </c>
    </row>
    <row r="182" spans="1:22" x14ac:dyDescent="0.4">
      <c r="A182" s="15" t="s">
        <v>1370</v>
      </c>
      <c r="B182" s="15" t="s">
        <v>1371</v>
      </c>
      <c r="C182" s="15" t="s">
        <v>1372</v>
      </c>
      <c r="D182" s="15" t="s">
        <v>12</v>
      </c>
      <c r="E182" s="15" t="s">
        <v>262</v>
      </c>
      <c r="F182" s="15" t="s">
        <v>1373</v>
      </c>
      <c r="G182" s="15" t="s">
        <v>1374</v>
      </c>
      <c r="H182" s="15" t="s">
        <v>1375</v>
      </c>
      <c r="I182" s="15" t="s">
        <v>1376</v>
      </c>
      <c r="J182" s="15" t="s">
        <v>1377</v>
      </c>
      <c r="K182" s="15" t="s">
        <v>1378</v>
      </c>
      <c r="L182" s="15" t="s">
        <v>1379</v>
      </c>
      <c r="M182" s="15" t="s">
        <v>27</v>
      </c>
      <c r="N182" s="15">
        <v>2024</v>
      </c>
      <c r="O182" s="15">
        <v>17</v>
      </c>
      <c r="P182" s="15">
        <v>12</v>
      </c>
      <c r="Q182" s="15">
        <v>2145</v>
      </c>
      <c r="R182" s="15">
        <v>2161</v>
      </c>
      <c r="S182" s="15" t="s">
        <v>1380</v>
      </c>
      <c r="T182" s="15" t="str">
        <f>HYPERLINK("http://dx.doi.org/10.1007/s12273-024-1185-7","http://dx.doi.org/10.1007/s12273-024-1185-7")</f>
        <v>http://dx.doi.org/10.1007/s12273-024-1185-7</v>
      </c>
      <c r="U182" s="15" t="s">
        <v>1075</v>
      </c>
      <c r="V182" s="15" t="s">
        <v>1381</v>
      </c>
    </row>
    <row r="183" spans="1:22" x14ac:dyDescent="0.4">
      <c r="A183" s="15" t="s">
        <v>1436</v>
      </c>
      <c r="B183" s="15" t="s">
        <v>1437</v>
      </c>
      <c r="C183" s="15" t="s">
        <v>1438</v>
      </c>
      <c r="D183" s="15" t="s">
        <v>12</v>
      </c>
      <c r="E183" s="15" t="s">
        <v>262</v>
      </c>
      <c r="F183" s="15" t="s">
        <v>1439</v>
      </c>
      <c r="G183" s="15" t="s">
        <v>1440</v>
      </c>
      <c r="H183" s="15" t="s">
        <v>1441</v>
      </c>
      <c r="I183" s="15" t="s">
        <v>1442</v>
      </c>
      <c r="J183" s="15" t="s">
        <v>1443</v>
      </c>
      <c r="K183" s="15" t="s">
        <v>1444</v>
      </c>
      <c r="L183" s="15" t="s">
        <v>1445</v>
      </c>
      <c r="M183" s="15" t="s">
        <v>27</v>
      </c>
      <c r="N183" s="15">
        <v>2024</v>
      </c>
      <c r="O183" s="15">
        <v>17</v>
      </c>
      <c r="P183" s="15">
        <v>12</v>
      </c>
      <c r="Q183" s="15">
        <v>2249</v>
      </c>
      <c r="R183" s="15">
        <v>2262</v>
      </c>
      <c r="S183" s="15" t="s">
        <v>1446</v>
      </c>
      <c r="T183" s="15" t="str">
        <f>HYPERLINK("http://dx.doi.org/10.1007/s12273-024-1184-8","http://dx.doi.org/10.1007/s12273-024-1184-8")</f>
        <v>http://dx.doi.org/10.1007/s12273-024-1184-8</v>
      </c>
      <c r="U183" s="15" t="s">
        <v>1075</v>
      </c>
      <c r="V183" s="15" t="s">
        <v>1447</v>
      </c>
    </row>
    <row r="184" spans="1:22" x14ac:dyDescent="0.4">
      <c r="A184" s="15" t="s">
        <v>1492</v>
      </c>
      <c r="B184" s="15" t="s">
        <v>1493</v>
      </c>
      <c r="C184" s="15" t="s">
        <v>1494</v>
      </c>
      <c r="D184" s="15" t="s">
        <v>12</v>
      </c>
      <c r="E184" s="15" t="s">
        <v>262</v>
      </c>
      <c r="F184" s="15" t="s">
        <v>1495</v>
      </c>
      <c r="G184" s="15" t="s">
        <v>1496</v>
      </c>
      <c r="H184" s="15" t="s">
        <v>1497</v>
      </c>
      <c r="I184" s="15" t="s">
        <v>1498</v>
      </c>
      <c r="J184" s="15" t="s">
        <v>1499</v>
      </c>
      <c r="K184" s="15" t="s">
        <v>1500</v>
      </c>
      <c r="L184" s="15" t="s">
        <v>320</v>
      </c>
      <c r="M184" s="15" t="s">
        <v>27</v>
      </c>
      <c r="N184" s="15">
        <v>2024</v>
      </c>
      <c r="O184" s="15">
        <v>17</v>
      </c>
      <c r="P184" s="15">
        <v>12</v>
      </c>
      <c r="Q184" s="15">
        <v>2331</v>
      </c>
      <c r="R184" s="15">
        <v>2353</v>
      </c>
      <c r="S184" s="15" t="s">
        <v>1501</v>
      </c>
      <c r="T184" s="15" t="str">
        <f>HYPERLINK("http://dx.doi.org/10.1007/s12273-024-1190-x","http://dx.doi.org/10.1007/s12273-024-1190-x")</f>
        <v>http://dx.doi.org/10.1007/s12273-024-1190-x</v>
      </c>
      <c r="U184" s="15" t="s">
        <v>1075</v>
      </c>
      <c r="V184" s="15" t="s">
        <v>1502</v>
      </c>
    </row>
    <row r="185" spans="1:22" x14ac:dyDescent="0.4">
      <c r="A185" s="15" t="s">
        <v>1238</v>
      </c>
      <c r="B185" s="15" t="s">
        <v>1239</v>
      </c>
      <c r="C185" s="15" t="s">
        <v>1240</v>
      </c>
      <c r="D185" s="15" t="s">
        <v>12</v>
      </c>
      <c r="E185" s="15" t="s">
        <v>262</v>
      </c>
      <c r="F185" s="15" t="s">
        <v>1241</v>
      </c>
      <c r="G185" s="15" t="s">
        <v>1242</v>
      </c>
      <c r="H185" s="15" t="s">
        <v>1243</v>
      </c>
      <c r="I185" s="15" t="s">
        <v>1244</v>
      </c>
      <c r="J185" s="15" t="s">
        <v>1245</v>
      </c>
      <c r="K185" s="15" t="s">
        <v>1246</v>
      </c>
      <c r="L185" s="15" t="s">
        <v>1247</v>
      </c>
      <c r="M185" s="15" t="s">
        <v>14</v>
      </c>
      <c r="N185" s="15">
        <v>2024</v>
      </c>
      <c r="O185" s="15">
        <v>17</v>
      </c>
      <c r="P185" s="15">
        <v>11</v>
      </c>
      <c r="Q185" s="15">
        <v>1933</v>
      </c>
      <c r="R185" s="15">
        <v>1949</v>
      </c>
      <c r="S185" s="15" t="s">
        <v>1248</v>
      </c>
      <c r="T185" s="15" t="str">
        <f>HYPERLINK("http://dx.doi.org/10.1007/s12273-024-1180-z","http://dx.doi.org/10.1007/s12273-024-1180-z")</f>
        <v>http://dx.doi.org/10.1007/s12273-024-1180-z</v>
      </c>
      <c r="U185" s="15" t="s">
        <v>1075</v>
      </c>
      <c r="V185" s="15" t="s">
        <v>1249</v>
      </c>
    </row>
    <row r="186" spans="1:22" x14ac:dyDescent="0.4">
      <c r="A186" s="15" t="s">
        <v>1274</v>
      </c>
      <c r="B186" s="15" t="s">
        <v>1275</v>
      </c>
      <c r="C186" s="15" t="s">
        <v>1276</v>
      </c>
      <c r="D186" s="15" t="s">
        <v>12</v>
      </c>
      <c r="E186" s="15" t="s">
        <v>262</v>
      </c>
      <c r="F186" s="15" t="s">
        <v>1277</v>
      </c>
      <c r="G186" s="15" t="s">
        <v>1278</v>
      </c>
      <c r="H186" s="15" t="s">
        <v>3451</v>
      </c>
      <c r="I186" s="15" t="s">
        <v>1280</v>
      </c>
      <c r="J186" s="15" t="s">
        <v>1281</v>
      </c>
      <c r="K186" s="15" t="s">
        <v>1282</v>
      </c>
      <c r="L186" s="15" t="s">
        <v>1283</v>
      </c>
      <c r="M186" s="15" t="s">
        <v>14</v>
      </c>
      <c r="N186" s="15">
        <v>2024</v>
      </c>
      <c r="O186" s="15">
        <v>17</v>
      </c>
      <c r="P186" s="15">
        <v>11</v>
      </c>
      <c r="Q186" s="15">
        <v>1989</v>
      </c>
      <c r="R186" s="15">
        <v>2006</v>
      </c>
      <c r="S186" s="15" t="s">
        <v>1285</v>
      </c>
      <c r="T186" s="15" t="str">
        <f>HYPERLINK("http://dx.doi.org/10.1007/s12273-024-1168-8","http://dx.doi.org/10.1007/s12273-024-1168-8")</f>
        <v>http://dx.doi.org/10.1007/s12273-024-1168-8</v>
      </c>
      <c r="U186" s="15" t="s">
        <v>1075</v>
      </c>
      <c r="V186" s="15" t="s">
        <v>1286</v>
      </c>
    </row>
    <row r="187" spans="1:22" x14ac:dyDescent="0.4">
      <c r="A187" s="15" t="s">
        <v>1169</v>
      </c>
      <c r="B187" s="15" t="s">
        <v>1170</v>
      </c>
      <c r="C187" s="15" t="s">
        <v>1171</v>
      </c>
      <c r="D187" s="15" t="s">
        <v>12</v>
      </c>
      <c r="E187" s="15" t="s">
        <v>262</v>
      </c>
      <c r="F187" s="15" t="s">
        <v>1172</v>
      </c>
      <c r="G187" s="15" t="s">
        <v>3452</v>
      </c>
      <c r="H187" s="15" t="s">
        <v>3453</v>
      </c>
      <c r="I187" s="15" t="s">
        <v>3454</v>
      </c>
      <c r="J187" s="15" t="s">
        <v>1176</v>
      </c>
      <c r="K187" s="15" t="s">
        <v>1177</v>
      </c>
      <c r="L187" s="15" t="s">
        <v>1178</v>
      </c>
      <c r="M187" s="15" t="s">
        <v>15</v>
      </c>
      <c r="N187" s="15">
        <v>2024</v>
      </c>
      <c r="O187" s="15">
        <v>17</v>
      </c>
      <c r="P187" s="15">
        <v>10</v>
      </c>
      <c r="Q187" s="15">
        <v>1805</v>
      </c>
      <c r="R187" s="15">
        <v>1821</v>
      </c>
      <c r="S187" s="15" t="s">
        <v>1179</v>
      </c>
      <c r="T187" s="15" t="str">
        <f>HYPERLINK("http://dx.doi.org/10.1007/s12273-024-1161-2","http://dx.doi.org/10.1007/s12273-024-1161-2")</f>
        <v>http://dx.doi.org/10.1007/s12273-024-1161-2</v>
      </c>
      <c r="U187" s="15" t="s">
        <v>1075</v>
      </c>
      <c r="V187" s="15" t="s">
        <v>1180</v>
      </c>
    </row>
    <row r="188" spans="1:22" x14ac:dyDescent="0.4">
      <c r="A188" s="15" t="s">
        <v>1323</v>
      </c>
      <c r="B188" s="15" t="s">
        <v>1324</v>
      </c>
      <c r="C188" s="15" t="s">
        <v>1325</v>
      </c>
      <c r="D188" s="15" t="s">
        <v>12</v>
      </c>
      <c r="E188" s="15" t="s">
        <v>262</v>
      </c>
      <c r="F188" s="15" t="s">
        <v>1326</v>
      </c>
      <c r="G188" s="15" t="s">
        <v>1327</v>
      </c>
      <c r="H188" s="15" t="s">
        <v>1328</v>
      </c>
      <c r="I188" s="15" t="s">
        <v>1329</v>
      </c>
      <c r="J188" s="15" t="s">
        <v>1330</v>
      </c>
      <c r="K188" s="15" t="s">
        <v>1331</v>
      </c>
      <c r="L188" s="15" t="s">
        <v>1332</v>
      </c>
      <c r="M188" s="15" t="s">
        <v>14</v>
      </c>
      <c r="N188" s="15">
        <v>2024</v>
      </c>
      <c r="O188" s="15">
        <v>17</v>
      </c>
      <c r="P188" s="15">
        <v>11</v>
      </c>
      <c r="Q188" s="15">
        <v>2063</v>
      </c>
      <c r="R188" s="15">
        <v>2082</v>
      </c>
      <c r="S188" s="15" t="s">
        <v>1333</v>
      </c>
      <c r="T188" s="15" t="str">
        <f>HYPERLINK("http://dx.doi.org/10.1007/s12273-024-1171-0","http://dx.doi.org/10.1007/s12273-024-1171-0")</f>
        <v>http://dx.doi.org/10.1007/s12273-024-1171-0</v>
      </c>
      <c r="U188" s="15" t="s">
        <v>1075</v>
      </c>
      <c r="V188" s="15" t="s">
        <v>1334</v>
      </c>
    </row>
    <row r="189" spans="1:22" x14ac:dyDescent="0.4">
      <c r="A189" s="15" t="s">
        <v>1181</v>
      </c>
      <c r="B189" s="15" t="s">
        <v>1182</v>
      </c>
      <c r="C189" s="15" t="s">
        <v>1183</v>
      </c>
      <c r="D189" s="15" t="s">
        <v>12</v>
      </c>
      <c r="E189" s="15" t="s">
        <v>262</v>
      </c>
      <c r="F189" s="15" t="s">
        <v>1184</v>
      </c>
      <c r="G189" s="15" t="s">
        <v>1185</v>
      </c>
      <c r="H189" s="15" t="s">
        <v>1186</v>
      </c>
      <c r="I189" s="15" t="s">
        <v>1187</v>
      </c>
      <c r="J189" s="15" t="s">
        <v>1188</v>
      </c>
      <c r="K189" s="15" t="s">
        <v>1189</v>
      </c>
      <c r="L189" s="15" t="s">
        <v>1190</v>
      </c>
      <c r="M189" s="15" t="s">
        <v>15</v>
      </c>
      <c r="N189" s="15">
        <v>2024</v>
      </c>
      <c r="O189" s="15">
        <v>17</v>
      </c>
      <c r="P189" s="15">
        <v>10</v>
      </c>
      <c r="Q189" s="15">
        <v>1823</v>
      </c>
      <c r="R189" s="15">
        <v>1840</v>
      </c>
      <c r="S189" s="15" t="s">
        <v>1191</v>
      </c>
      <c r="T189" s="15" t="str">
        <f>HYPERLINK("http://dx.doi.org/10.1007/s12273-024-1164-z","http://dx.doi.org/10.1007/s12273-024-1164-z")</f>
        <v>http://dx.doi.org/10.1007/s12273-024-1164-z</v>
      </c>
      <c r="U189" s="15" t="s">
        <v>1075</v>
      </c>
      <c r="V189" s="15" t="s">
        <v>1192</v>
      </c>
    </row>
    <row r="190" spans="1:22" x14ac:dyDescent="0.4">
      <c r="A190" s="15" t="s">
        <v>1426</v>
      </c>
      <c r="B190" s="15" t="s">
        <v>1427</v>
      </c>
      <c r="C190" s="15" t="s">
        <v>1428</v>
      </c>
      <c r="D190" s="15" t="s">
        <v>12</v>
      </c>
      <c r="E190" s="15" t="s">
        <v>262</v>
      </c>
      <c r="F190" s="15" t="s">
        <v>1429</v>
      </c>
      <c r="G190" s="15" t="s">
        <v>1430</v>
      </c>
      <c r="H190" s="15" t="s">
        <v>1431</v>
      </c>
      <c r="I190" s="15" t="s">
        <v>1432</v>
      </c>
      <c r="J190" s="15" t="s">
        <v>275</v>
      </c>
      <c r="K190" s="15" t="s">
        <v>1433</v>
      </c>
      <c r="L190" s="15" t="s">
        <v>276</v>
      </c>
      <c r="M190" s="15" t="s">
        <v>27</v>
      </c>
      <c r="N190" s="15">
        <v>2024</v>
      </c>
      <c r="O190" s="15">
        <v>17</v>
      </c>
      <c r="P190" s="15">
        <v>12</v>
      </c>
      <c r="Q190" s="15">
        <v>2233</v>
      </c>
      <c r="R190" s="15">
        <v>2247</v>
      </c>
      <c r="S190" s="15" t="s">
        <v>1434</v>
      </c>
      <c r="T190" s="15" t="str">
        <f>HYPERLINK("http://dx.doi.org/10.1007/s12273-024-1183-9","http://dx.doi.org/10.1007/s12273-024-1183-9")</f>
        <v>http://dx.doi.org/10.1007/s12273-024-1183-9</v>
      </c>
      <c r="U190" s="15" t="s">
        <v>1075</v>
      </c>
      <c r="V190" s="15" t="s">
        <v>1435</v>
      </c>
    </row>
    <row r="191" spans="1:22" x14ac:dyDescent="0.4">
      <c r="A191" s="15" t="s">
        <v>1393</v>
      </c>
      <c r="B191" s="15" t="s">
        <v>1394</v>
      </c>
      <c r="C191" s="15" t="s">
        <v>1395</v>
      </c>
      <c r="D191" s="15" t="s">
        <v>12</v>
      </c>
      <c r="E191" s="15" t="s">
        <v>262</v>
      </c>
      <c r="F191" s="15" t="s">
        <v>1396</v>
      </c>
      <c r="G191" s="15" t="s">
        <v>1397</v>
      </c>
      <c r="H191" s="15" t="s">
        <v>1398</v>
      </c>
      <c r="I191" s="15" t="s">
        <v>1399</v>
      </c>
      <c r="J191" s="15" t="s">
        <v>318</v>
      </c>
      <c r="K191" s="15" t="s">
        <v>1400</v>
      </c>
      <c r="L191" s="15" t="s">
        <v>1401</v>
      </c>
      <c r="M191" s="15" t="s">
        <v>27</v>
      </c>
      <c r="N191" s="15">
        <v>2024</v>
      </c>
      <c r="O191" s="15">
        <v>17</v>
      </c>
      <c r="P191" s="15">
        <v>12</v>
      </c>
      <c r="Q191" s="15">
        <v>2179</v>
      </c>
      <c r="R191" s="15">
        <v>2198</v>
      </c>
      <c r="S191" s="15" t="s">
        <v>1402</v>
      </c>
      <c r="T191" s="15" t="str">
        <f>HYPERLINK("http://dx.doi.org/10.1007/s12273-024-1186-6","http://dx.doi.org/10.1007/s12273-024-1186-6")</f>
        <v>http://dx.doi.org/10.1007/s12273-024-1186-6</v>
      </c>
      <c r="U191" s="15" t="s">
        <v>1001</v>
      </c>
      <c r="V191" s="15" t="s">
        <v>1403</v>
      </c>
    </row>
    <row r="192" spans="1:22" x14ac:dyDescent="0.4">
      <c r="A192" s="15" t="s">
        <v>1193</v>
      </c>
      <c r="B192" s="15" t="s">
        <v>1194</v>
      </c>
      <c r="C192" s="15" t="s">
        <v>1195</v>
      </c>
      <c r="D192" s="15" t="s">
        <v>12</v>
      </c>
      <c r="E192" s="15" t="s">
        <v>262</v>
      </c>
      <c r="F192" s="15" t="s">
        <v>1196</v>
      </c>
      <c r="G192" s="15" t="s">
        <v>1197</v>
      </c>
      <c r="H192" s="15" t="s">
        <v>1198</v>
      </c>
      <c r="I192" s="15" t="s">
        <v>1199</v>
      </c>
      <c r="J192" s="15" t="s">
        <v>1200</v>
      </c>
      <c r="K192" s="15" t="s">
        <v>1201</v>
      </c>
      <c r="L192" s="15" t="s">
        <v>1202</v>
      </c>
      <c r="M192" s="15" t="s">
        <v>15</v>
      </c>
      <c r="N192" s="15">
        <v>2024</v>
      </c>
      <c r="O192" s="15">
        <v>17</v>
      </c>
      <c r="P192" s="15">
        <v>10</v>
      </c>
      <c r="Q192" s="15">
        <v>1841</v>
      </c>
      <c r="R192" s="15">
        <v>1870</v>
      </c>
      <c r="S192" s="15" t="s">
        <v>1203</v>
      </c>
      <c r="T192" s="15" t="str">
        <f>HYPERLINK("http://dx.doi.org/10.1007/s12273-024-1156-z","http://dx.doi.org/10.1007/s12273-024-1156-z")</f>
        <v>http://dx.doi.org/10.1007/s12273-024-1156-z</v>
      </c>
      <c r="U192" s="15" t="s">
        <v>1001</v>
      </c>
      <c r="V192" s="15" t="s">
        <v>1204</v>
      </c>
    </row>
    <row r="193" spans="1:22" x14ac:dyDescent="0.4">
      <c r="A193" s="15" t="s">
        <v>1311</v>
      </c>
      <c r="B193" s="15" t="s">
        <v>1312</v>
      </c>
      <c r="C193" s="15" t="s">
        <v>1313</v>
      </c>
      <c r="D193" s="15" t="s">
        <v>12</v>
      </c>
      <c r="E193" s="15" t="s">
        <v>262</v>
      </c>
      <c r="F193" s="15" t="s">
        <v>1314</v>
      </c>
      <c r="G193" s="15" t="s">
        <v>1315</v>
      </c>
      <c r="H193" s="15" t="s">
        <v>1316</v>
      </c>
      <c r="I193" s="15" t="s">
        <v>1317</v>
      </c>
      <c r="J193" s="15" t="s">
        <v>1318</v>
      </c>
      <c r="K193" s="15" t="s">
        <v>1319</v>
      </c>
      <c r="L193" s="15" t="s">
        <v>1320</v>
      </c>
      <c r="M193" s="15" t="s">
        <v>14</v>
      </c>
      <c r="N193" s="15">
        <v>2024</v>
      </c>
      <c r="O193" s="15">
        <v>17</v>
      </c>
      <c r="P193" s="15">
        <v>11</v>
      </c>
      <c r="Q193" s="15">
        <v>2043</v>
      </c>
      <c r="R193" s="15">
        <v>2061</v>
      </c>
      <c r="S193" s="15" t="s">
        <v>1321</v>
      </c>
      <c r="T193" s="15" t="str">
        <f>HYPERLINK("http://dx.doi.org/10.1007/s12273-024-1179-5","http://dx.doi.org/10.1007/s12273-024-1179-5")</f>
        <v>http://dx.doi.org/10.1007/s12273-024-1179-5</v>
      </c>
      <c r="U193" s="15" t="s">
        <v>1001</v>
      </c>
      <c r="V193" s="15" t="s">
        <v>1322</v>
      </c>
    </row>
    <row r="194" spans="1:22" x14ac:dyDescent="0.4">
      <c r="A194" s="15" t="s">
        <v>1347</v>
      </c>
      <c r="B194" s="15" t="s">
        <v>1348</v>
      </c>
      <c r="C194" s="15" t="s">
        <v>1349</v>
      </c>
      <c r="D194" s="15" t="s">
        <v>12</v>
      </c>
      <c r="E194" s="15" t="s">
        <v>262</v>
      </c>
      <c r="F194" s="15" t="s">
        <v>1350</v>
      </c>
      <c r="G194" s="15" t="s">
        <v>1351</v>
      </c>
      <c r="H194" s="15" t="s">
        <v>1352</v>
      </c>
      <c r="I194" s="15" t="s">
        <v>1353</v>
      </c>
      <c r="J194" s="15" t="s">
        <v>1354</v>
      </c>
      <c r="K194" s="15" t="s">
        <v>1355</v>
      </c>
      <c r="L194" s="15" t="s">
        <v>1356</v>
      </c>
      <c r="M194" s="15" t="s">
        <v>14</v>
      </c>
      <c r="N194" s="15">
        <v>2024</v>
      </c>
      <c r="O194" s="15">
        <v>17</v>
      </c>
      <c r="P194" s="15">
        <v>11</v>
      </c>
      <c r="Q194" s="15">
        <v>2097</v>
      </c>
      <c r="R194" s="15">
        <v>2123</v>
      </c>
      <c r="S194" s="15" t="s">
        <v>1357</v>
      </c>
      <c r="T194" s="15" t="str">
        <f>HYPERLINK("http://dx.doi.org/10.1007/s12273-024-1178-6","http://dx.doi.org/10.1007/s12273-024-1178-6")</f>
        <v>http://dx.doi.org/10.1007/s12273-024-1178-6</v>
      </c>
      <c r="U194" s="15" t="s">
        <v>1001</v>
      </c>
      <c r="V194" s="15" t="s">
        <v>1358</v>
      </c>
    </row>
    <row r="195" spans="1:22" x14ac:dyDescent="0.4">
      <c r="A195" s="15" t="s">
        <v>1299</v>
      </c>
      <c r="B195" s="15" t="s">
        <v>1300</v>
      </c>
      <c r="C195" s="15" t="s">
        <v>1301</v>
      </c>
      <c r="D195" s="15" t="s">
        <v>12</v>
      </c>
      <c r="E195" s="15" t="s">
        <v>262</v>
      </c>
      <c r="F195" s="15" t="s">
        <v>1302</v>
      </c>
      <c r="G195" s="15" t="s">
        <v>1303</v>
      </c>
      <c r="H195" s="15" t="s">
        <v>1304</v>
      </c>
      <c r="I195" s="15" t="s">
        <v>1305</v>
      </c>
      <c r="J195" s="15" t="s">
        <v>1306</v>
      </c>
      <c r="K195" s="15" t="s">
        <v>1307</v>
      </c>
      <c r="L195" s="15" t="s">
        <v>1308</v>
      </c>
      <c r="M195" s="15" t="s">
        <v>14</v>
      </c>
      <c r="N195" s="15">
        <v>2024</v>
      </c>
      <c r="O195" s="15">
        <v>17</v>
      </c>
      <c r="P195" s="15">
        <v>11</v>
      </c>
      <c r="Q195" s="15">
        <v>2017</v>
      </c>
      <c r="R195" s="15">
        <v>2042</v>
      </c>
      <c r="S195" s="15" t="s">
        <v>1309</v>
      </c>
      <c r="T195" s="15" t="str">
        <f>HYPERLINK("http://dx.doi.org/10.1007/s12273-024-1174-x","http://dx.doi.org/10.1007/s12273-024-1174-x")</f>
        <v>http://dx.doi.org/10.1007/s12273-024-1174-x</v>
      </c>
      <c r="U195" s="15" t="s">
        <v>1001</v>
      </c>
      <c r="V195" s="15" t="s">
        <v>1310</v>
      </c>
    </row>
    <row r="196" spans="1:22" x14ac:dyDescent="0.4">
      <c r="A196" s="15" t="s">
        <v>1205</v>
      </c>
      <c r="B196" s="15" t="s">
        <v>1206</v>
      </c>
      <c r="C196" s="15" t="s">
        <v>1207</v>
      </c>
      <c r="D196" s="15" t="s">
        <v>12</v>
      </c>
      <c r="E196" s="15" t="s">
        <v>262</v>
      </c>
      <c r="F196" s="15" t="s">
        <v>1208</v>
      </c>
      <c r="G196" s="15" t="s">
        <v>1209</v>
      </c>
      <c r="H196" s="15" t="s">
        <v>1210</v>
      </c>
      <c r="I196" s="15" t="s">
        <v>3455</v>
      </c>
      <c r="J196" s="15" t="s">
        <v>3456</v>
      </c>
      <c r="K196" s="15" t="s">
        <v>3457</v>
      </c>
      <c r="L196" s="15" t="s">
        <v>1214</v>
      </c>
      <c r="M196" s="15" t="s">
        <v>15</v>
      </c>
      <c r="N196" s="15">
        <v>2024</v>
      </c>
      <c r="O196" s="15">
        <v>17</v>
      </c>
      <c r="P196" s="15">
        <v>10</v>
      </c>
      <c r="Q196" s="15">
        <v>1871</v>
      </c>
      <c r="R196" s="15">
        <v>1891</v>
      </c>
      <c r="S196" s="15" t="s">
        <v>1215</v>
      </c>
      <c r="T196" s="15" t="str">
        <f>HYPERLINK("http://dx.doi.org/10.1007/s12273-024-1160-3","http://dx.doi.org/10.1007/s12273-024-1160-3")</f>
        <v>http://dx.doi.org/10.1007/s12273-024-1160-3</v>
      </c>
      <c r="U196" s="15" t="s">
        <v>1001</v>
      </c>
      <c r="V196" s="15" t="s">
        <v>1216</v>
      </c>
    </row>
    <row r="197" spans="1:22" x14ac:dyDescent="0.4">
      <c r="A197" s="15" t="s">
        <v>1262</v>
      </c>
      <c r="B197" s="15" t="s">
        <v>1263</v>
      </c>
      <c r="C197" s="15" t="s">
        <v>1264</v>
      </c>
      <c r="D197" s="15" t="s">
        <v>12</v>
      </c>
      <c r="E197" s="15" t="s">
        <v>262</v>
      </c>
      <c r="F197" s="15" t="s">
        <v>1265</v>
      </c>
      <c r="G197" s="15" t="s">
        <v>1266</v>
      </c>
      <c r="H197" s="15" t="s">
        <v>1267</v>
      </c>
      <c r="I197" s="15" t="s">
        <v>1268</v>
      </c>
      <c r="J197" s="15" t="s">
        <v>1269</v>
      </c>
      <c r="K197" s="15" t="s">
        <v>1270</v>
      </c>
      <c r="L197" s="15" t="s">
        <v>1271</v>
      </c>
      <c r="M197" s="15" t="s">
        <v>14</v>
      </c>
      <c r="N197" s="15">
        <v>2024</v>
      </c>
      <c r="O197" s="15">
        <v>17</v>
      </c>
      <c r="P197" s="15">
        <v>11</v>
      </c>
      <c r="Q197" s="15">
        <v>1971</v>
      </c>
      <c r="R197" s="15">
        <v>1987</v>
      </c>
      <c r="S197" s="15" t="s">
        <v>1272</v>
      </c>
      <c r="T197" s="15" t="str">
        <f>HYPERLINK("http://dx.doi.org/10.1007/s12273-024-1177-7","http://dx.doi.org/10.1007/s12273-024-1177-7")</f>
        <v>http://dx.doi.org/10.1007/s12273-024-1177-7</v>
      </c>
      <c r="U197" s="15" t="s">
        <v>1001</v>
      </c>
      <c r="V197" s="15" t="s">
        <v>1273</v>
      </c>
    </row>
    <row r="198" spans="1:22" x14ac:dyDescent="0.4">
      <c r="A198" s="15" t="s">
        <v>1359</v>
      </c>
      <c r="B198" s="15" t="s">
        <v>1360</v>
      </c>
      <c r="C198" s="15" t="s">
        <v>1361</v>
      </c>
      <c r="D198" s="15" t="s">
        <v>12</v>
      </c>
      <c r="E198" s="15" t="s">
        <v>262</v>
      </c>
      <c r="F198" s="15" t="s">
        <v>1362</v>
      </c>
      <c r="G198" s="15" t="s">
        <v>1363</v>
      </c>
      <c r="H198" s="15" t="s">
        <v>1364</v>
      </c>
      <c r="I198" s="15" t="s">
        <v>1365</v>
      </c>
      <c r="J198" s="15" t="s">
        <v>291</v>
      </c>
      <c r="K198" s="15" t="s">
        <v>1366</v>
      </c>
      <c r="L198" s="15" t="s">
        <v>1367</v>
      </c>
      <c r="M198" s="15" t="s">
        <v>14</v>
      </c>
      <c r="N198" s="15">
        <v>2024</v>
      </c>
      <c r="O198" s="15">
        <v>17</v>
      </c>
      <c r="P198" s="15">
        <v>11</v>
      </c>
      <c r="Q198" s="15">
        <v>2125</v>
      </c>
      <c r="R198" s="15">
        <v>2143</v>
      </c>
      <c r="S198" s="15" t="s">
        <v>1368</v>
      </c>
      <c r="T198" s="15" t="str">
        <f>HYPERLINK("http://dx.doi.org/10.1007/s12273-024-1181-y","http://dx.doi.org/10.1007/s12273-024-1181-y")</f>
        <v>http://dx.doi.org/10.1007/s12273-024-1181-y</v>
      </c>
      <c r="U198" s="15" t="s">
        <v>1001</v>
      </c>
      <c r="V198" s="15" t="s">
        <v>1369</v>
      </c>
    </row>
    <row r="199" spans="1:22" x14ac:dyDescent="0.4">
      <c r="A199" s="15" t="s">
        <v>1077</v>
      </c>
      <c r="B199" s="15" t="s">
        <v>1078</v>
      </c>
      <c r="C199" s="15" t="s">
        <v>1079</v>
      </c>
      <c r="D199" s="15" t="s">
        <v>12</v>
      </c>
      <c r="E199" s="15" t="s">
        <v>262</v>
      </c>
      <c r="F199" s="15" t="s">
        <v>1081</v>
      </c>
      <c r="G199" s="15" t="s">
        <v>1082</v>
      </c>
      <c r="H199" s="15" t="s">
        <v>1083</v>
      </c>
      <c r="I199" s="15" t="s">
        <v>1084</v>
      </c>
      <c r="J199" s="15" t="s">
        <v>665</v>
      </c>
      <c r="K199" s="15" t="s">
        <v>1085</v>
      </c>
      <c r="L199" s="15" t="s">
        <v>1086</v>
      </c>
      <c r="M199" s="15" t="s">
        <v>15</v>
      </c>
      <c r="N199" s="15">
        <v>2024</v>
      </c>
      <c r="O199" s="15">
        <v>17</v>
      </c>
      <c r="P199" s="15">
        <v>10</v>
      </c>
      <c r="Q199" s="15">
        <v>1659</v>
      </c>
      <c r="R199" s="15">
        <v>1674</v>
      </c>
      <c r="S199" s="15" t="s">
        <v>1087</v>
      </c>
      <c r="T199" s="15" t="str">
        <f>HYPERLINK("http://dx.doi.org/10.1007/s12273-024-1165-y","http://dx.doi.org/10.1007/s12273-024-1165-y")</f>
        <v>http://dx.doi.org/10.1007/s12273-024-1165-y</v>
      </c>
      <c r="U199" s="15" t="s">
        <v>1001</v>
      </c>
      <c r="V199" s="15" t="s">
        <v>1088</v>
      </c>
    </row>
    <row r="200" spans="1:22" x14ac:dyDescent="0.4">
      <c r="A200" s="15" t="s">
        <v>990</v>
      </c>
      <c r="B200" s="15" t="s">
        <v>991</v>
      </c>
      <c r="C200" s="15" t="s">
        <v>992</v>
      </c>
      <c r="D200" s="15" t="s">
        <v>12</v>
      </c>
      <c r="E200" s="15" t="s">
        <v>262</v>
      </c>
      <c r="F200" s="15" t="s">
        <v>993</v>
      </c>
      <c r="G200" s="15" t="s">
        <v>994</v>
      </c>
      <c r="H200" s="15" t="s">
        <v>995</v>
      </c>
      <c r="I200" s="15" t="s">
        <v>996</v>
      </c>
      <c r="J200" s="15" t="s">
        <v>997</v>
      </c>
      <c r="K200" s="15" t="s">
        <v>998</v>
      </c>
      <c r="L200" s="15" t="s">
        <v>999</v>
      </c>
      <c r="M200" s="15" t="s">
        <v>16</v>
      </c>
      <c r="N200" s="15">
        <v>2024</v>
      </c>
      <c r="O200" s="15">
        <v>17</v>
      </c>
      <c r="P200" s="15">
        <v>9</v>
      </c>
      <c r="Q200" s="15">
        <v>1541</v>
      </c>
      <c r="R200" s="15">
        <v>1556</v>
      </c>
      <c r="S200" s="15" t="s">
        <v>1000</v>
      </c>
      <c r="T200" s="15" t="str">
        <f>HYPERLINK("http://dx.doi.org/10.1007/s12273-024-1169-7","http://dx.doi.org/10.1007/s12273-024-1169-7")</f>
        <v>http://dx.doi.org/10.1007/s12273-024-1169-7</v>
      </c>
      <c r="U200" s="15" t="s">
        <v>1001</v>
      </c>
      <c r="V200" s="15" t="s">
        <v>1002</v>
      </c>
    </row>
    <row r="201" spans="1:22" x14ac:dyDescent="0.4">
      <c r="A201" s="15" t="s">
        <v>1287</v>
      </c>
      <c r="B201" s="15" t="s">
        <v>1288</v>
      </c>
      <c r="C201" s="15" t="s">
        <v>1289</v>
      </c>
      <c r="D201" s="15" t="s">
        <v>12</v>
      </c>
      <c r="E201" s="15" t="s">
        <v>262</v>
      </c>
      <c r="F201" s="15" t="s">
        <v>1290</v>
      </c>
      <c r="G201" s="15" t="s">
        <v>1291</v>
      </c>
      <c r="H201" s="15" t="s">
        <v>1292</v>
      </c>
      <c r="I201" s="15" t="s">
        <v>1293</v>
      </c>
      <c r="J201" s="15" t="s">
        <v>1294</v>
      </c>
      <c r="K201" s="15" t="s">
        <v>1295</v>
      </c>
      <c r="L201" s="15" t="s">
        <v>1296</v>
      </c>
      <c r="M201" s="15" t="s">
        <v>14</v>
      </c>
      <c r="N201" s="15">
        <v>2024</v>
      </c>
      <c r="O201" s="15">
        <v>17</v>
      </c>
      <c r="P201" s="15">
        <v>11</v>
      </c>
      <c r="Q201" s="15">
        <v>2007</v>
      </c>
      <c r="R201" s="15">
        <v>2015</v>
      </c>
      <c r="S201" s="15" t="s">
        <v>1297</v>
      </c>
      <c r="T201" s="15" t="str">
        <f>HYPERLINK("http://dx.doi.org/10.1007/s12273-024-1172-z","http://dx.doi.org/10.1007/s12273-024-1172-z")</f>
        <v>http://dx.doi.org/10.1007/s12273-024-1172-z</v>
      </c>
      <c r="U201" s="15" t="s">
        <v>1001</v>
      </c>
      <c r="V201" s="15" t="s">
        <v>1298</v>
      </c>
    </row>
    <row r="202" spans="1:22" x14ac:dyDescent="0.4">
      <c r="A202" s="15" t="s">
        <v>1250</v>
      </c>
      <c r="B202" s="15" t="s">
        <v>1251</v>
      </c>
      <c r="C202" s="15" t="s">
        <v>1252</v>
      </c>
      <c r="D202" s="15" t="s">
        <v>12</v>
      </c>
      <c r="E202" s="15" t="s">
        <v>262</v>
      </c>
      <c r="F202" s="15" t="s">
        <v>1253</v>
      </c>
      <c r="G202" s="15" t="s">
        <v>1254</v>
      </c>
      <c r="H202" s="15" t="s">
        <v>1255</v>
      </c>
      <c r="I202" s="15" t="s">
        <v>1256</v>
      </c>
      <c r="J202" s="15" t="s">
        <v>1257</v>
      </c>
      <c r="K202" s="15" t="s">
        <v>1258</v>
      </c>
      <c r="L202" s="15" t="s">
        <v>1259</v>
      </c>
      <c r="M202" s="15" t="s">
        <v>14</v>
      </c>
      <c r="N202" s="15">
        <v>2024</v>
      </c>
      <c r="O202" s="15">
        <v>17</v>
      </c>
      <c r="P202" s="15">
        <v>11</v>
      </c>
      <c r="Q202" s="15">
        <v>1951</v>
      </c>
      <c r="R202" s="15">
        <v>1969</v>
      </c>
      <c r="S202" s="15" t="s">
        <v>1260</v>
      </c>
      <c r="T202" s="15" t="str">
        <f>HYPERLINK("http://dx.doi.org/10.1007/s12273-024-1173-y","http://dx.doi.org/10.1007/s12273-024-1173-y")</f>
        <v>http://dx.doi.org/10.1007/s12273-024-1173-y</v>
      </c>
      <c r="U202" s="15" t="s">
        <v>878</v>
      </c>
      <c r="V202" s="15" t="s">
        <v>1261</v>
      </c>
    </row>
    <row r="203" spans="1:22" x14ac:dyDescent="0.4">
      <c r="A203" s="15" t="s">
        <v>1099</v>
      </c>
      <c r="B203" s="15" t="s">
        <v>1100</v>
      </c>
      <c r="C203" s="15" t="s">
        <v>1101</v>
      </c>
      <c r="D203" s="15" t="s">
        <v>12</v>
      </c>
      <c r="E203" s="15" t="s">
        <v>262</v>
      </c>
      <c r="F203" s="15" t="s">
        <v>1102</v>
      </c>
      <c r="G203" s="15" t="s">
        <v>1103</v>
      </c>
      <c r="H203" s="15" t="s">
        <v>1104</v>
      </c>
      <c r="I203" s="15" t="s">
        <v>1105</v>
      </c>
      <c r="J203" s="15" t="s">
        <v>1106</v>
      </c>
      <c r="K203" s="15" t="s">
        <v>1107</v>
      </c>
      <c r="L203" s="15" t="s">
        <v>1108</v>
      </c>
      <c r="M203" s="15" t="s">
        <v>15</v>
      </c>
      <c r="N203" s="15">
        <v>2024</v>
      </c>
      <c r="O203" s="15">
        <v>17</v>
      </c>
      <c r="P203" s="15">
        <v>10</v>
      </c>
      <c r="Q203" s="15">
        <v>1693</v>
      </c>
      <c r="R203" s="15">
        <v>1708</v>
      </c>
      <c r="S203" s="15" t="s">
        <v>1109</v>
      </c>
      <c r="T203" s="15" t="str">
        <f>HYPERLINK("http://dx.doi.org/10.1007/s12273-024-1167-9","http://dx.doi.org/10.1007/s12273-024-1167-9")</f>
        <v>http://dx.doi.org/10.1007/s12273-024-1167-9</v>
      </c>
      <c r="U203" s="15" t="s">
        <v>878</v>
      </c>
      <c r="V203" s="15" t="s">
        <v>1110</v>
      </c>
    </row>
    <row r="204" spans="1:22" x14ac:dyDescent="0.4">
      <c r="A204" s="15" t="s">
        <v>1157</v>
      </c>
      <c r="B204" s="15" t="s">
        <v>1158</v>
      </c>
      <c r="C204" s="15" t="s">
        <v>1159</v>
      </c>
      <c r="D204" s="15" t="s">
        <v>12</v>
      </c>
      <c r="E204" s="15" t="s">
        <v>262</v>
      </c>
      <c r="F204" s="15" t="s">
        <v>1160</v>
      </c>
      <c r="G204" s="15" t="s">
        <v>1161</v>
      </c>
      <c r="H204" s="15" t="s">
        <v>3458</v>
      </c>
      <c r="I204" s="15" t="s">
        <v>3459</v>
      </c>
      <c r="J204" s="15" t="s">
        <v>1164</v>
      </c>
      <c r="K204" s="15" t="s">
        <v>1165</v>
      </c>
      <c r="L204" s="15" t="s">
        <v>1166</v>
      </c>
      <c r="M204" s="15" t="s">
        <v>15</v>
      </c>
      <c r="N204" s="15">
        <v>2024</v>
      </c>
      <c r="O204" s="15">
        <v>17</v>
      </c>
      <c r="P204" s="15">
        <v>10</v>
      </c>
      <c r="Q204" s="15">
        <v>1789</v>
      </c>
      <c r="R204" s="15">
        <v>1803</v>
      </c>
      <c r="S204" s="15" t="s">
        <v>1167</v>
      </c>
      <c r="T204" s="15" t="str">
        <f>HYPERLINK("http://dx.doi.org/10.1007/s12273-024-1159-9","http://dx.doi.org/10.1007/s12273-024-1159-9")</f>
        <v>http://dx.doi.org/10.1007/s12273-024-1159-9</v>
      </c>
      <c r="U204" s="15" t="s">
        <v>878</v>
      </c>
      <c r="V204" s="15" t="s">
        <v>1168</v>
      </c>
    </row>
    <row r="205" spans="1:22" x14ac:dyDescent="0.4">
      <c r="A205" s="15" t="s">
        <v>1217</v>
      </c>
      <c r="B205" s="15" t="s">
        <v>1218</v>
      </c>
      <c r="C205" s="15" t="s">
        <v>1219</v>
      </c>
      <c r="D205" s="15" t="s">
        <v>12</v>
      </c>
      <c r="E205" s="15" t="s">
        <v>262</v>
      </c>
      <c r="F205" s="15" t="s">
        <v>1220</v>
      </c>
      <c r="G205" s="15" t="s">
        <v>1221</v>
      </c>
      <c r="H205" s="15" t="s">
        <v>1222</v>
      </c>
      <c r="I205" s="15" t="s">
        <v>1223</v>
      </c>
      <c r="J205" s="15" t="s">
        <v>307</v>
      </c>
      <c r="K205" s="15" t="s">
        <v>1224</v>
      </c>
      <c r="L205" s="15" t="s">
        <v>1225</v>
      </c>
      <c r="M205" s="15" t="s">
        <v>14</v>
      </c>
      <c r="N205" s="15">
        <v>2024</v>
      </c>
      <c r="O205" s="15">
        <v>17</v>
      </c>
      <c r="P205" s="15">
        <v>11</v>
      </c>
      <c r="Q205" s="15">
        <v>1893</v>
      </c>
      <c r="R205" s="15">
        <v>1907</v>
      </c>
      <c r="S205" s="15" t="s">
        <v>1226</v>
      </c>
      <c r="T205" s="15" t="str">
        <f>HYPERLINK("http://dx.doi.org/10.1007/s12273-024-1176-8","http://dx.doi.org/10.1007/s12273-024-1176-8")</f>
        <v>http://dx.doi.org/10.1007/s12273-024-1176-8</v>
      </c>
      <c r="U205" s="15" t="s">
        <v>878</v>
      </c>
      <c r="V205" s="15" t="s">
        <v>1227</v>
      </c>
    </row>
    <row r="206" spans="1:22" x14ac:dyDescent="0.4">
      <c r="A206" s="15" t="s">
        <v>867</v>
      </c>
      <c r="B206" s="15" t="s">
        <v>868</v>
      </c>
      <c r="C206" s="15" t="s">
        <v>869</v>
      </c>
      <c r="D206" s="15" t="s">
        <v>12</v>
      </c>
      <c r="E206" s="15" t="s">
        <v>262</v>
      </c>
      <c r="F206" s="15" t="s">
        <v>870</v>
      </c>
      <c r="G206" s="15" t="s">
        <v>871</v>
      </c>
      <c r="H206" s="15" t="s">
        <v>872</v>
      </c>
      <c r="I206" s="15" t="s">
        <v>873</v>
      </c>
      <c r="J206" s="15" t="s">
        <v>874</v>
      </c>
      <c r="K206" s="15" t="s">
        <v>875</v>
      </c>
      <c r="L206" s="15" t="s">
        <v>876</v>
      </c>
      <c r="M206" s="15" t="s">
        <v>19</v>
      </c>
      <c r="N206" s="15">
        <v>2024</v>
      </c>
      <c r="O206" s="15">
        <v>17</v>
      </c>
      <c r="P206" s="15">
        <v>8</v>
      </c>
      <c r="Q206" s="15">
        <v>1323</v>
      </c>
      <c r="R206" s="15">
        <v>1333</v>
      </c>
      <c r="S206" s="15" t="s">
        <v>877</v>
      </c>
      <c r="T206" s="15" t="str">
        <f>HYPERLINK("http://dx.doi.org/10.1007/s12273-024-1166-x","http://dx.doi.org/10.1007/s12273-024-1166-x")</f>
        <v>http://dx.doi.org/10.1007/s12273-024-1166-x</v>
      </c>
      <c r="U206" s="15" t="s">
        <v>878</v>
      </c>
      <c r="V206" s="15" t="s">
        <v>879</v>
      </c>
    </row>
    <row r="207" spans="1:22" x14ac:dyDescent="0.4">
      <c r="A207" s="15" t="s">
        <v>1134</v>
      </c>
      <c r="B207" s="15" t="s">
        <v>1135</v>
      </c>
      <c r="C207" s="15" t="s">
        <v>1136</v>
      </c>
      <c r="D207" s="15" t="s">
        <v>12</v>
      </c>
      <c r="E207" s="15" t="s">
        <v>262</v>
      </c>
      <c r="F207" s="15" t="s">
        <v>1137</v>
      </c>
      <c r="G207" s="15" t="s">
        <v>1138</v>
      </c>
      <c r="H207" s="15" t="s">
        <v>1139</v>
      </c>
      <c r="I207" s="15" t="s">
        <v>1140</v>
      </c>
      <c r="J207" s="15" t="s">
        <v>282</v>
      </c>
      <c r="K207" s="15" t="s">
        <v>1141</v>
      </c>
      <c r="L207" s="15" t="s">
        <v>1142</v>
      </c>
      <c r="M207" s="15" t="s">
        <v>15</v>
      </c>
      <c r="N207" s="15">
        <v>2024</v>
      </c>
      <c r="O207" s="15">
        <v>17</v>
      </c>
      <c r="P207" s="15">
        <v>10</v>
      </c>
      <c r="Q207" s="15">
        <v>1749</v>
      </c>
      <c r="R207" s="15">
        <v>1765</v>
      </c>
      <c r="S207" s="15" t="s">
        <v>1143</v>
      </c>
      <c r="T207" s="15" t="str">
        <f>HYPERLINK("http://dx.doi.org/10.1007/s12273-024-1155-0","http://dx.doi.org/10.1007/s12273-024-1155-0")</f>
        <v>http://dx.doi.org/10.1007/s12273-024-1155-0</v>
      </c>
      <c r="U207" s="15" t="s">
        <v>878</v>
      </c>
      <c r="V207" s="15" t="s">
        <v>1144</v>
      </c>
    </row>
    <row r="208" spans="1:22" x14ac:dyDescent="0.4">
      <c r="A208" s="15" t="s">
        <v>1111</v>
      </c>
      <c r="B208" s="15" t="s">
        <v>1112</v>
      </c>
      <c r="C208" s="15" t="s">
        <v>1113</v>
      </c>
      <c r="D208" s="15" t="s">
        <v>12</v>
      </c>
      <c r="E208" s="15" t="s">
        <v>262</v>
      </c>
      <c r="F208" s="15" t="s">
        <v>1114</v>
      </c>
      <c r="G208" s="15" t="s">
        <v>1115</v>
      </c>
      <c r="H208" s="15" t="s">
        <v>1116</v>
      </c>
      <c r="I208" s="15" t="s">
        <v>3460</v>
      </c>
      <c r="J208" s="15" t="s">
        <v>1118</v>
      </c>
      <c r="K208" s="15" t="s">
        <v>3461</v>
      </c>
      <c r="L208" s="15" t="s">
        <v>1120</v>
      </c>
      <c r="M208" s="15" t="s">
        <v>15</v>
      </c>
      <c r="N208" s="15">
        <v>2024</v>
      </c>
      <c r="O208" s="15">
        <v>17</v>
      </c>
      <c r="P208" s="15">
        <v>10</v>
      </c>
      <c r="Q208" s="15">
        <v>1709</v>
      </c>
      <c r="R208" s="15">
        <v>1730</v>
      </c>
      <c r="S208" s="15" t="s">
        <v>1121</v>
      </c>
      <c r="T208" s="15" t="str">
        <f>HYPERLINK("http://dx.doi.org/10.1007/s12273-024-1154-1","http://dx.doi.org/10.1007/s12273-024-1154-1")</f>
        <v>http://dx.doi.org/10.1007/s12273-024-1154-1</v>
      </c>
      <c r="U208" s="15" t="s">
        <v>878</v>
      </c>
      <c r="V208" s="15" t="s">
        <v>1122</v>
      </c>
    </row>
    <row r="209" spans="1:22" x14ac:dyDescent="0.4">
      <c r="A209" s="15" t="s">
        <v>1123</v>
      </c>
      <c r="B209" s="15" t="s">
        <v>1124</v>
      </c>
      <c r="C209" s="15" t="s">
        <v>1125</v>
      </c>
      <c r="D209" s="15" t="s">
        <v>12</v>
      </c>
      <c r="E209" s="15" t="s">
        <v>262</v>
      </c>
      <c r="F209" s="15" t="s">
        <v>1126</v>
      </c>
      <c r="G209" s="15" t="s">
        <v>1127</v>
      </c>
      <c r="H209" s="15" t="s">
        <v>1128</v>
      </c>
      <c r="I209" s="15" t="s">
        <v>3462</v>
      </c>
      <c r="J209" s="15" t="s">
        <v>1130</v>
      </c>
      <c r="K209" s="15" t="s">
        <v>3463</v>
      </c>
      <c r="L209" s="15" t="s">
        <v>1132</v>
      </c>
      <c r="M209" s="15" t="s">
        <v>15</v>
      </c>
      <c r="N209" s="15">
        <v>2024</v>
      </c>
      <c r="O209" s="15">
        <v>17</v>
      </c>
      <c r="P209" s="15">
        <v>10</v>
      </c>
      <c r="Q209" s="15">
        <v>1731</v>
      </c>
      <c r="R209" s="15">
        <v>1748</v>
      </c>
      <c r="S209" s="15" t="s">
        <v>3464</v>
      </c>
      <c r="T209" s="15" t="str">
        <f>HYPERLINK("http://dx.doi.org/10.1007/s12273-024-1144-3","http://dx.doi.org/10.1007/s12273-024-1144-3")</f>
        <v>http://dx.doi.org/10.1007/s12273-024-1144-3</v>
      </c>
      <c r="U209" s="15" t="s">
        <v>878</v>
      </c>
      <c r="V209" s="15" t="s">
        <v>1133</v>
      </c>
    </row>
    <row r="210" spans="1:22" x14ac:dyDescent="0.4">
      <c r="A210" s="15" t="s">
        <v>1335</v>
      </c>
      <c r="B210" s="15" t="s">
        <v>1336</v>
      </c>
      <c r="C210" s="15" t="s">
        <v>1337</v>
      </c>
      <c r="D210" s="15" t="s">
        <v>12</v>
      </c>
      <c r="E210" s="15" t="s">
        <v>262</v>
      </c>
      <c r="F210" s="15" t="s">
        <v>1338</v>
      </c>
      <c r="G210" s="15" t="s">
        <v>1339</v>
      </c>
      <c r="H210" s="15" t="s">
        <v>1340</v>
      </c>
      <c r="I210" s="15" t="s">
        <v>1341</v>
      </c>
      <c r="J210" s="15" t="s">
        <v>1342</v>
      </c>
      <c r="K210" s="15" t="s">
        <v>1343</v>
      </c>
      <c r="L210" s="15" t="s">
        <v>1344</v>
      </c>
      <c r="M210" s="15" t="s">
        <v>14</v>
      </c>
      <c r="N210" s="15">
        <v>2024</v>
      </c>
      <c r="O210" s="15">
        <v>17</v>
      </c>
      <c r="P210" s="15">
        <v>11</v>
      </c>
      <c r="Q210" s="15">
        <v>2083</v>
      </c>
      <c r="R210" s="15">
        <v>2095</v>
      </c>
      <c r="S210" s="15" t="s">
        <v>1345</v>
      </c>
      <c r="T210" s="15" t="str">
        <f>HYPERLINK("http://dx.doi.org/10.1007/s12273-024-1175-9","http://dx.doi.org/10.1007/s12273-024-1175-9")</f>
        <v>http://dx.doi.org/10.1007/s12273-024-1175-9</v>
      </c>
      <c r="U210" s="15" t="s">
        <v>878</v>
      </c>
      <c r="V210" s="15" t="s">
        <v>1346</v>
      </c>
    </row>
    <row r="211" spans="1:22" x14ac:dyDescent="0.4">
      <c r="A211" s="15" t="s">
        <v>967</v>
      </c>
      <c r="B211" s="15" t="s">
        <v>968</v>
      </c>
      <c r="C211" s="15" t="s">
        <v>969</v>
      </c>
      <c r="D211" s="15" t="s">
        <v>12</v>
      </c>
      <c r="E211" s="15" t="s">
        <v>262</v>
      </c>
      <c r="F211" s="15" t="s">
        <v>970</v>
      </c>
      <c r="G211" s="15" t="s">
        <v>971</v>
      </c>
      <c r="H211" s="15" t="s">
        <v>972</v>
      </c>
      <c r="I211" s="15" t="s">
        <v>973</v>
      </c>
      <c r="J211" s="15" t="s">
        <v>974</v>
      </c>
      <c r="K211" s="15" t="s">
        <v>975</v>
      </c>
      <c r="L211" s="15" t="s">
        <v>976</v>
      </c>
      <c r="M211" s="15" t="s">
        <v>16</v>
      </c>
      <c r="N211" s="15">
        <v>2024</v>
      </c>
      <c r="O211" s="15">
        <v>17</v>
      </c>
      <c r="P211" s="15">
        <v>9</v>
      </c>
      <c r="Q211" s="15">
        <v>1515</v>
      </c>
      <c r="R211" s="15">
        <v>1529</v>
      </c>
      <c r="S211" s="15" t="s">
        <v>977</v>
      </c>
      <c r="T211" s="15" t="str">
        <f>HYPERLINK("http://dx.doi.org/10.1007/s12273-024-1151-4","http://dx.doi.org/10.1007/s12273-024-1151-4")</f>
        <v>http://dx.doi.org/10.1007/s12273-024-1151-4</v>
      </c>
      <c r="U211" s="15" t="s">
        <v>878</v>
      </c>
      <c r="V211" s="15" t="s">
        <v>978</v>
      </c>
    </row>
    <row r="212" spans="1:22" x14ac:dyDescent="0.4">
      <c r="A212" s="15" t="s">
        <v>1145</v>
      </c>
      <c r="B212" s="15" t="s">
        <v>1146</v>
      </c>
      <c r="C212" s="15" t="s">
        <v>1147</v>
      </c>
      <c r="D212" s="15" t="s">
        <v>12</v>
      </c>
      <c r="E212" s="15" t="s">
        <v>262</v>
      </c>
      <c r="F212" s="15" t="s">
        <v>1148</v>
      </c>
      <c r="G212" s="15" t="s">
        <v>1149</v>
      </c>
      <c r="H212" s="15" t="s">
        <v>3465</v>
      </c>
      <c r="I212" s="15" t="s">
        <v>3466</v>
      </c>
      <c r="J212" s="15" t="s">
        <v>1152</v>
      </c>
      <c r="K212" s="15" t="s">
        <v>1153</v>
      </c>
      <c r="L212" s="15" t="s">
        <v>1154</v>
      </c>
      <c r="M212" s="15" t="s">
        <v>15</v>
      </c>
      <c r="N212" s="15">
        <v>2024</v>
      </c>
      <c r="O212" s="15">
        <v>17</v>
      </c>
      <c r="P212" s="15">
        <v>10</v>
      </c>
      <c r="Q212" s="15">
        <v>1767</v>
      </c>
      <c r="R212" s="15">
        <v>1787</v>
      </c>
      <c r="S212" s="15" t="s">
        <v>1155</v>
      </c>
      <c r="T212" s="15" t="str">
        <f>HYPERLINK("http://dx.doi.org/10.1007/s12273-024-1158-x","http://dx.doi.org/10.1007/s12273-024-1158-x")</f>
        <v>http://dx.doi.org/10.1007/s12273-024-1158-x</v>
      </c>
      <c r="U212" s="15" t="s">
        <v>878</v>
      </c>
      <c r="V212" s="15" t="s">
        <v>1156</v>
      </c>
    </row>
    <row r="213" spans="1:22" x14ac:dyDescent="0.4">
      <c r="A213" s="15" t="s">
        <v>955</v>
      </c>
      <c r="B213" s="15" t="s">
        <v>956</v>
      </c>
      <c r="C213" s="15" t="s">
        <v>957</v>
      </c>
      <c r="D213" s="15" t="s">
        <v>12</v>
      </c>
      <c r="E213" s="15" t="s">
        <v>262</v>
      </c>
      <c r="F213" s="15" t="s">
        <v>958</v>
      </c>
      <c r="G213" s="15" t="s">
        <v>959</v>
      </c>
      <c r="H213" s="15" t="s">
        <v>960</v>
      </c>
      <c r="I213" s="15" t="s">
        <v>961</v>
      </c>
      <c r="J213" s="15" t="s">
        <v>962</v>
      </c>
      <c r="K213" s="15" t="s">
        <v>963</v>
      </c>
      <c r="L213" s="15" t="s">
        <v>964</v>
      </c>
      <c r="M213" s="15" t="s">
        <v>16</v>
      </c>
      <c r="N213" s="15">
        <v>2024</v>
      </c>
      <c r="O213" s="15">
        <v>17</v>
      </c>
      <c r="P213" s="15">
        <v>9</v>
      </c>
      <c r="Q213" s="15">
        <v>1491</v>
      </c>
      <c r="R213" s="15">
        <v>1513</v>
      </c>
      <c r="S213" s="15" t="s">
        <v>965</v>
      </c>
      <c r="T213" s="15" t="str">
        <f>HYPERLINK("http://dx.doi.org/10.1007/s12273-024-1153-2","http://dx.doi.org/10.1007/s12273-024-1153-2")</f>
        <v>http://dx.doi.org/10.1007/s12273-024-1153-2</v>
      </c>
      <c r="U213" s="15" t="s">
        <v>878</v>
      </c>
      <c r="V213" s="15" t="s">
        <v>966</v>
      </c>
    </row>
    <row r="214" spans="1:22" x14ac:dyDescent="0.4">
      <c r="A214" s="15" t="s">
        <v>1003</v>
      </c>
      <c r="B214" s="15" t="s">
        <v>1004</v>
      </c>
      <c r="C214" s="15" t="s">
        <v>1005</v>
      </c>
      <c r="D214" s="15" t="s">
        <v>12</v>
      </c>
      <c r="E214" s="15" t="s">
        <v>262</v>
      </c>
      <c r="F214" s="15" t="s">
        <v>1006</v>
      </c>
      <c r="G214" s="15" t="s">
        <v>1007</v>
      </c>
      <c r="H214" s="15" t="s">
        <v>1008</v>
      </c>
      <c r="I214" s="15" t="s">
        <v>1009</v>
      </c>
      <c r="J214" s="15" t="s">
        <v>1010</v>
      </c>
      <c r="K214" s="15" t="s">
        <v>1011</v>
      </c>
      <c r="L214" s="15" t="s">
        <v>1012</v>
      </c>
      <c r="M214" s="15" t="s">
        <v>16</v>
      </c>
      <c r="N214" s="15">
        <v>2024</v>
      </c>
      <c r="O214" s="15">
        <v>17</v>
      </c>
      <c r="P214" s="15">
        <v>9</v>
      </c>
      <c r="Q214" s="15">
        <v>1557</v>
      </c>
      <c r="R214" s="15">
        <v>1578</v>
      </c>
      <c r="S214" s="15" t="s">
        <v>1013</v>
      </c>
      <c r="T214" s="15" t="str">
        <f>HYPERLINK("http://dx.doi.org/10.1007/s12273-024-1142-5","http://dx.doi.org/10.1007/s12273-024-1142-5")</f>
        <v>http://dx.doi.org/10.1007/s12273-024-1142-5</v>
      </c>
      <c r="U214" s="15" t="s">
        <v>878</v>
      </c>
      <c r="V214" s="15" t="s">
        <v>1014</v>
      </c>
    </row>
    <row r="215" spans="1:22" x14ac:dyDescent="0.4">
      <c r="A215" s="15" t="s">
        <v>1027</v>
      </c>
      <c r="B215" s="15" t="s">
        <v>1028</v>
      </c>
      <c r="C215" s="15" t="s">
        <v>1029</v>
      </c>
      <c r="D215" s="15" t="s">
        <v>12</v>
      </c>
      <c r="E215" s="15" t="s">
        <v>262</v>
      </c>
      <c r="F215" s="15" t="s">
        <v>1030</v>
      </c>
      <c r="G215" s="15" t="s">
        <v>1031</v>
      </c>
      <c r="H215" s="15" t="s">
        <v>1032</v>
      </c>
      <c r="I215" s="15" t="s">
        <v>1033</v>
      </c>
      <c r="J215" s="15" t="s">
        <v>1034</v>
      </c>
      <c r="K215" s="15" t="s">
        <v>1035</v>
      </c>
      <c r="L215" s="15" t="s">
        <v>1036</v>
      </c>
      <c r="M215" s="15" t="s">
        <v>16</v>
      </c>
      <c r="N215" s="15">
        <v>2024</v>
      </c>
      <c r="O215" s="15">
        <v>17</v>
      </c>
      <c r="P215" s="15">
        <v>9</v>
      </c>
      <c r="Q215" s="15">
        <v>1601</v>
      </c>
      <c r="R215" s="15">
        <v>1613</v>
      </c>
      <c r="S215" s="15" t="s">
        <v>1037</v>
      </c>
      <c r="T215" s="15" t="str">
        <f>HYPERLINK("http://dx.doi.org/10.1007/s12273-024-1157-y","http://dx.doi.org/10.1007/s12273-024-1157-y")</f>
        <v>http://dx.doi.org/10.1007/s12273-024-1157-y</v>
      </c>
      <c r="U215" s="15" t="s">
        <v>829</v>
      </c>
      <c r="V215" s="15" t="s">
        <v>1038</v>
      </c>
    </row>
    <row r="216" spans="1:22" x14ac:dyDescent="0.4">
      <c r="A216" s="15" t="s">
        <v>889</v>
      </c>
      <c r="B216" s="15" t="s">
        <v>890</v>
      </c>
      <c r="C216" s="15" t="s">
        <v>891</v>
      </c>
      <c r="D216" s="15" t="s">
        <v>12</v>
      </c>
      <c r="E216" s="15" t="s">
        <v>262</v>
      </c>
      <c r="F216" s="15" t="s">
        <v>892</v>
      </c>
      <c r="G216" s="15" t="s">
        <v>893</v>
      </c>
      <c r="H216" s="15" t="s">
        <v>894</v>
      </c>
      <c r="I216" s="15" t="s">
        <v>895</v>
      </c>
      <c r="J216" s="15" t="s">
        <v>896</v>
      </c>
      <c r="K216" s="15" t="s">
        <v>897</v>
      </c>
      <c r="L216" s="15" t="s">
        <v>898</v>
      </c>
      <c r="M216" s="15" t="s">
        <v>19</v>
      </c>
      <c r="N216" s="15">
        <v>2024</v>
      </c>
      <c r="O216" s="15">
        <v>17</v>
      </c>
      <c r="P216" s="15">
        <v>8</v>
      </c>
      <c r="Q216" s="15">
        <v>1359</v>
      </c>
      <c r="R216" s="15">
        <v>1377</v>
      </c>
      <c r="S216" s="15" t="s">
        <v>899</v>
      </c>
      <c r="T216" s="15" t="str">
        <f>HYPERLINK("http://dx.doi.org/10.1007/s12273-024-1133-6","http://dx.doi.org/10.1007/s12273-024-1133-6")</f>
        <v>http://dx.doi.org/10.1007/s12273-024-1133-6</v>
      </c>
      <c r="U216" s="15" t="s">
        <v>829</v>
      </c>
      <c r="V216" s="15" t="s">
        <v>900</v>
      </c>
    </row>
    <row r="217" spans="1:22" x14ac:dyDescent="0.4">
      <c r="A217" s="15" t="s">
        <v>1015</v>
      </c>
      <c r="B217" s="15" t="s">
        <v>1016</v>
      </c>
      <c r="C217" s="15" t="s">
        <v>1017</v>
      </c>
      <c r="D217" s="15" t="s">
        <v>12</v>
      </c>
      <c r="E217" s="15" t="s">
        <v>262</v>
      </c>
      <c r="F217" s="15" t="s">
        <v>1018</v>
      </c>
      <c r="G217" s="15" t="s">
        <v>1019</v>
      </c>
      <c r="H217" s="15" t="s">
        <v>1020</v>
      </c>
      <c r="I217" s="15" t="s">
        <v>1021</v>
      </c>
      <c r="J217" s="15" t="s">
        <v>1022</v>
      </c>
      <c r="K217" s="15" t="s">
        <v>1023</v>
      </c>
      <c r="L217" s="15" t="s">
        <v>1024</v>
      </c>
      <c r="M217" s="15" t="s">
        <v>16</v>
      </c>
      <c r="N217" s="15">
        <v>2024</v>
      </c>
      <c r="O217" s="15">
        <v>17</v>
      </c>
      <c r="P217" s="15">
        <v>9</v>
      </c>
      <c r="Q217" s="15">
        <v>1579</v>
      </c>
      <c r="R217" s="15">
        <v>1600</v>
      </c>
      <c r="S217" s="15" t="s">
        <v>1025</v>
      </c>
      <c r="T217" s="15" t="str">
        <f>HYPERLINK("http://dx.doi.org/10.1007/s12273-024-1148-z","http://dx.doi.org/10.1007/s12273-024-1148-z")</f>
        <v>http://dx.doi.org/10.1007/s12273-024-1148-z</v>
      </c>
      <c r="U217" s="15" t="s">
        <v>829</v>
      </c>
      <c r="V217" s="15" t="s">
        <v>1026</v>
      </c>
    </row>
    <row r="218" spans="1:22" x14ac:dyDescent="0.4">
      <c r="A218" s="15" t="s">
        <v>1039</v>
      </c>
      <c r="B218" s="15" t="s">
        <v>1040</v>
      </c>
      <c r="C218" s="15" t="s">
        <v>1041</v>
      </c>
      <c r="D218" s="15" t="s">
        <v>12</v>
      </c>
      <c r="E218" s="15" t="s">
        <v>262</v>
      </c>
      <c r="F218" s="15" t="s">
        <v>1042</v>
      </c>
      <c r="G218" s="15" t="s">
        <v>1043</v>
      </c>
      <c r="H218" s="15" t="s">
        <v>1044</v>
      </c>
      <c r="I218" s="15" t="s">
        <v>1045</v>
      </c>
      <c r="J218" s="15" t="s">
        <v>1046</v>
      </c>
      <c r="K218" s="15" t="s">
        <v>1047</v>
      </c>
      <c r="L218" s="15" t="s">
        <v>1048</v>
      </c>
      <c r="M218" s="15" t="s">
        <v>16</v>
      </c>
      <c r="N218" s="15">
        <v>2024</v>
      </c>
      <c r="O218" s="15">
        <v>17</v>
      </c>
      <c r="P218" s="15">
        <v>9</v>
      </c>
      <c r="Q218" s="15">
        <v>1615</v>
      </c>
      <c r="R218" s="15">
        <v>1628</v>
      </c>
      <c r="S218" s="15" t="s">
        <v>1049</v>
      </c>
      <c r="T218" s="15" t="str">
        <f>HYPERLINK("http://dx.doi.org/10.1007/s12273-024-1162-1","http://dx.doi.org/10.1007/s12273-024-1162-1")</f>
        <v>http://dx.doi.org/10.1007/s12273-024-1162-1</v>
      </c>
      <c r="U218" s="15" t="s">
        <v>829</v>
      </c>
      <c r="V218" s="15" t="s">
        <v>1050</v>
      </c>
    </row>
    <row r="219" spans="1:22" x14ac:dyDescent="0.4">
      <c r="A219" s="15" t="s">
        <v>880</v>
      </c>
      <c r="B219" s="15" t="s">
        <v>881</v>
      </c>
      <c r="C219" s="15" t="s">
        <v>882</v>
      </c>
      <c r="D219" s="15" t="s">
        <v>12</v>
      </c>
      <c r="E219" s="15" t="s">
        <v>262</v>
      </c>
      <c r="F219" s="15" t="s">
        <v>883</v>
      </c>
      <c r="G219" s="15" t="s">
        <v>3467</v>
      </c>
      <c r="H219" s="15" t="s">
        <v>885</v>
      </c>
      <c r="I219" s="15" t="s">
        <v>886</v>
      </c>
      <c r="J219" s="15" t="s">
        <v>11</v>
      </c>
      <c r="K219" s="15" t="s">
        <v>721</v>
      </c>
      <c r="L219" s="15" t="s">
        <v>722</v>
      </c>
      <c r="M219" s="15" t="s">
        <v>19</v>
      </c>
      <c r="N219" s="15">
        <v>2024</v>
      </c>
      <c r="O219" s="15">
        <v>17</v>
      </c>
      <c r="P219" s="15">
        <v>8</v>
      </c>
      <c r="Q219" s="15">
        <v>1335</v>
      </c>
      <c r="R219" s="15">
        <v>1358</v>
      </c>
      <c r="S219" s="15" t="s">
        <v>887</v>
      </c>
      <c r="T219" s="15" t="str">
        <f>HYPERLINK("http://dx.doi.org/10.1007/s12273-024-1128-3","http://dx.doi.org/10.1007/s12273-024-1128-3")</f>
        <v>http://dx.doi.org/10.1007/s12273-024-1128-3</v>
      </c>
      <c r="U219" s="15" t="s">
        <v>829</v>
      </c>
      <c r="V219" s="15" t="s">
        <v>888</v>
      </c>
    </row>
    <row r="220" spans="1:22" x14ac:dyDescent="0.4">
      <c r="A220" s="15" t="s">
        <v>979</v>
      </c>
      <c r="B220" s="15" t="s">
        <v>980</v>
      </c>
      <c r="C220" s="15" t="s">
        <v>981</v>
      </c>
      <c r="D220" s="15" t="s">
        <v>12</v>
      </c>
      <c r="E220" s="15" t="s">
        <v>262</v>
      </c>
      <c r="F220" s="15" t="s">
        <v>982</v>
      </c>
      <c r="G220" s="15" t="s">
        <v>983</v>
      </c>
      <c r="H220" s="15" t="s">
        <v>984</v>
      </c>
      <c r="I220" s="15" t="s">
        <v>985</v>
      </c>
      <c r="J220" s="15" t="s">
        <v>665</v>
      </c>
      <c r="K220" s="15" t="s">
        <v>986</v>
      </c>
      <c r="L220" s="15" t="s">
        <v>987</v>
      </c>
      <c r="M220" s="15" t="s">
        <v>16</v>
      </c>
      <c r="N220" s="15">
        <v>2024</v>
      </c>
      <c r="O220" s="15">
        <v>17</v>
      </c>
      <c r="P220" s="15">
        <v>9</v>
      </c>
      <c r="Q220" s="15">
        <v>1531</v>
      </c>
      <c r="R220" s="15">
        <v>1539</v>
      </c>
      <c r="S220" s="15" t="s">
        <v>988</v>
      </c>
      <c r="T220" s="15" t="str">
        <f>HYPERLINK("http://dx.doi.org/10.1007/s12273-024-1163-0","http://dx.doi.org/10.1007/s12273-024-1163-0")</f>
        <v>http://dx.doi.org/10.1007/s12273-024-1163-0</v>
      </c>
      <c r="U220" s="15" t="s">
        <v>829</v>
      </c>
      <c r="V220" s="15" t="s">
        <v>989</v>
      </c>
    </row>
    <row r="221" spans="1:22" x14ac:dyDescent="0.4">
      <c r="A221" s="15" t="s">
        <v>944</v>
      </c>
      <c r="B221" s="15" t="s">
        <v>945</v>
      </c>
      <c r="C221" s="15" t="s">
        <v>946</v>
      </c>
      <c r="D221" s="15" t="s">
        <v>12</v>
      </c>
      <c r="E221" s="15" t="s">
        <v>262</v>
      </c>
      <c r="F221" s="15" t="s">
        <v>947</v>
      </c>
      <c r="G221" s="15" t="s">
        <v>948</v>
      </c>
      <c r="H221" s="15" t="s">
        <v>949</v>
      </c>
      <c r="I221" s="15" t="s">
        <v>950</v>
      </c>
      <c r="J221" s="15" t="s">
        <v>951</v>
      </c>
      <c r="K221" s="15" t="s">
        <v>952</v>
      </c>
      <c r="L221" s="15" t="s">
        <v>304</v>
      </c>
      <c r="M221" s="15" t="s">
        <v>16</v>
      </c>
      <c r="N221" s="15">
        <v>2024</v>
      </c>
      <c r="O221" s="15">
        <v>17</v>
      </c>
      <c r="P221" s="15">
        <v>9</v>
      </c>
      <c r="Q221" s="15">
        <v>1461</v>
      </c>
      <c r="R221" s="15">
        <v>1489</v>
      </c>
      <c r="S221" s="15" t="s">
        <v>953</v>
      </c>
      <c r="T221" s="15" t="str">
        <f>HYPERLINK("http://dx.doi.org/10.1007/s12273-024-1141-6","http://dx.doi.org/10.1007/s12273-024-1141-6")</f>
        <v>http://dx.doi.org/10.1007/s12273-024-1141-6</v>
      </c>
      <c r="U221" s="15" t="s">
        <v>829</v>
      </c>
      <c r="V221" s="15" t="s">
        <v>954</v>
      </c>
    </row>
    <row r="222" spans="1:22" x14ac:dyDescent="0.4">
      <c r="A222" s="15" t="s">
        <v>855</v>
      </c>
      <c r="B222" s="15" t="s">
        <v>856</v>
      </c>
      <c r="C222" s="15" t="s">
        <v>857</v>
      </c>
      <c r="D222" s="15" t="s">
        <v>12</v>
      </c>
      <c r="E222" s="15" t="s">
        <v>262</v>
      </c>
      <c r="F222" s="15" t="s">
        <v>858</v>
      </c>
      <c r="G222" s="15" t="s">
        <v>859</v>
      </c>
      <c r="H222" s="15" t="s">
        <v>860</v>
      </c>
      <c r="I222" s="15" t="s">
        <v>861</v>
      </c>
      <c r="J222" s="15" t="s">
        <v>862</v>
      </c>
      <c r="K222" s="15" t="s">
        <v>863</v>
      </c>
      <c r="L222" s="15" t="s">
        <v>864</v>
      </c>
      <c r="M222" s="15" t="s">
        <v>19</v>
      </c>
      <c r="N222" s="15">
        <v>2024</v>
      </c>
      <c r="O222" s="15">
        <v>17</v>
      </c>
      <c r="P222" s="15">
        <v>8</v>
      </c>
      <c r="Q222" s="15">
        <v>1309</v>
      </c>
      <c r="R222" s="15">
        <v>1322</v>
      </c>
      <c r="S222" s="15" t="s">
        <v>865</v>
      </c>
      <c r="T222" s="15" t="str">
        <f>HYPERLINK("http://dx.doi.org/10.1007/s12273-024-1145-2","http://dx.doi.org/10.1007/s12273-024-1145-2")</f>
        <v>http://dx.doi.org/10.1007/s12273-024-1145-2</v>
      </c>
      <c r="U222" s="15" t="s">
        <v>829</v>
      </c>
      <c r="V222" s="15" t="s">
        <v>866</v>
      </c>
    </row>
    <row r="223" spans="1:22" x14ac:dyDescent="0.4">
      <c r="A223" s="15" t="s">
        <v>933</v>
      </c>
      <c r="B223" s="15" t="s">
        <v>934</v>
      </c>
      <c r="C223" s="15" t="s">
        <v>935</v>
      </c>
      <c r="D223" s="15" t="s">
        <v>12</v>
      </c>
      <c r="E223" s="15" t="s">
        <v>262</v>
      </c>
      <c r="F223" s="15" t="s">
        <v>936</v>
      </c>
      <c r="G223" s="15" t="s">
        <v>937</v>
      </c>
      <c r="H223" s="15" t="s">
        <v>938</v>
      </c>
      <c r="I223" s="15" t="s">
        <v>939</v>
      </c>
      <c r="J223" s="15" t="s">
        <v>319</v>
      </c>
      <c r="K223" s="15" t="s">
        <v>940</v>
      </c>
      <c r="L223" s="15" t="s">
        <v>941</v>
      </c>
      <c r="M223" s="15" t="s">
        <v>16</v>
      </c>
      <c r="N223" s="15">
        <v>2024</v>
      </c>
      <c r="O223" s="15">
        <v>17</v>
      </c>
      <c r="P223" s="15">
        <v>9</v>
      </c>
      <c r="Q223" s="15">
        <v>1439</v>
      </c>
      <c r="R223" s="15">
        <v>1460</v>
      </c>
      <c r="S223" s="15" t="s">
        <v>942</v>
      </c>
      <c r="T223" s="15" t="str">
        <f>HYPERLINK("http://dx.doi.org/10.1007/s12273-024-1152-3","http://dx.doi.org/10.1007/s12273-024-1152-3")</f>
        <v>http://dx.doi.org/10.1007/s12273-024-1152-3</v>
      </c>
      <c r="U223" s="15" t="s">
        <v>829</v>
      </c>
      <c r="V223" s="15" t="s">
        <v>943</v>
      </c>
    </row>
    <row r="224" spans="1:22" x14ac:dyDescent="0.4">
      <c r="A224" s="15" t="s">
        <v>913</v>
      </c>
      <c r="B224" s="15" t="s">
        <v>914</v>
      </c>
      <c r="C224" s="15" t="s">
        <v>915</v>
      </c>
      <c r="D224" s="15" t="s">
        <v>12</v>
      </c>
      <c r="E224" s="15" t="s">
        <v>262</v>
      </c>
      <c r="F224" s="15" t="s">
        <v>916</v>
      </c>
      <c r="G224" s="15" t="s">
        <v>917</v>
      </c>
      <c r="H224" s="15" t="s">
        <v>918</v>
      </c>
      <c r="I224" s="15" t="s">
        <v>919</v>
      </c>
      <c r="J224" s="15" t="s">
        <v>264</v>
      </c>
      <c r="K224" s="15" t="s">
        <v>920</v>
      </c>
      <c r="L224" s="15" t="s">
        <v>265</v>
      </c>
      <c r="M224" s="15" t="s">
        <v>19</v>
      </c>
      <c r="N224" s="15">
        <v>2024</v>
      </c>
      <c r="O224" s="15">
        <v>17</v>
      </c>
      <c r="P224" s="15">
        <v>8</v>
      </c>
      <c r="Q224" s="15">
        <v>1401</v>
      </c>
      <c r="R224" s="15">
        <v>1417</v>
      </c>
      <c r="S224" s="15" t="s">
        <v>921</v>
      </c>
      <c r="T224" s="15" t="str">
        <f>HYPERLINK("http://dx.doi.org/10.1007/s12273-024-1147-0","http://dx.doi.org/10.1007/s12273-024-1147-0")</f>
        <v>http://dx.doi.org/10.1007/s12273-024-1147-0</v>
      </c>
      <c r="U224" s="15" t="s">
        <v>829</v>
      </c>
      <c r="V224" s="15" t="s">
        <v>922</v>
      </c>
    </row>
    <row r="225" spans="1:22" x14ac:dyDescent="0.4">
      <c r="A225" s="15" t="s">
        <v>1051</v>
      </c>
      <c r="B225" s="15" t="s">
        <v>1052</v>
      </c>
      <c r="C225" s="15" t="s">
        <v>1053</v>
      </c>
      <c r="D225" s="15" t="s">
        <v>12</v>
      </c>
      <c r="E225" s="15" t="s">
        <v>262</v>
      </c>
      <c r="F225" s="15" t="s">
        <v>1054</v>
      </c>
      <c r="G225" s="15" t="s">
        <v>1055</v>
      </c>
      <c r="H225" s="15" t="s">
        <v>1056</v>
      </c>
      <c r="I225" s="15" t="s">
        <v>1057</v>
      </c>
      <c r="J225" s="15" t="s">
        <v>1058</v>
      </c>
      <c r="K225" s="15" t="s">
        <v>1059</v>
      </c>
      <c r="L225" s="15" t="s">
        <v>1060</v>
      </c>
      <c r="M225" s="15" t="s">
        <v>16</v>
      </c>
      <c r="N225" s="15">
        <v>2024</v>
      </c>
      <c r="O225" s="15">
        <v>17</v>
      </c>
      <c r="P225" s="15">
        <v>9</v>
      </c>
      <c r="Q225" s="15">
        <v>1629</v>
      </c>
      <c r="R225" s="15">
        <v>1651</v>
      </c>
      <c r="S225" s="15" t="s">
        <v>1061</v>
      </c>
      <c r="T225" s="15" t="str">
        <f>HYPERLINK("http://dx.doi.org/10.1007/s12273-024-1150-5","http://dx.doi.org/10.1007/s12273-024-1150-5")</f>
        <v>http://dx.doi.org/10.1007/s12273-024-1150-5</v>
      </c>
      <c r="U225" s="15" t="s">
        <v>829</v>
      </c>
      <c r="V225" s="15" t="s">
        <v>1062</v>
      </c>
    </row>
    <row r="226" spans="1:22" x14ac:dyDescent="0.4">
      <c r="A226" s="15" t="s">
        <v>818</v>
      </c>
      <c r="B226" s="15" t="s">
        <v>819</v>
      </c>
      <c r="C226" s="15" t="s">
        <v>820</v>
      </c>
      <c r="D226" s="15" t="s">
        <v>12</v>
      </c>
      <c r="E226" s="15" t="s">
        <v>262</v>
      </c>
      <c r="F226" s="15" t="s">
        <v>821</v>
      </c>
      <c r="G226" s="15" t="s">
        <v>822</v>
      </c>
      <c r="H226" s="15" t="s">
        <v>823</v>
      </c>
      <c r="I226" s="15" t="s">
        <v>824</v>
      </c>
      <c r="J226" s="15" t="s">
        <v>825</v>
      </c>
      <c r="K226" s="15" t="s">
        <v>826</v>
      </c>
      <c r="L226" s="15" t="s">
        <v>827</v>
      </c>
      <c r="M226" s="15" t="s">
        <v>19</v>
      </c>
      <c r="N226" s="15">
        <v>2024</v>
      </c>
      <c r="O226" s="15">
        <v>17</v>
      </c>
      <c r="P226" s="15">
        <v>8</v>
      </c>
      <c r="Q226" s="15">
        <v>1253</v>
      </c>
      <c r="R226" s="15">
        <v>1271</v>
      </c>
      <c r="S226" s="15" t="s">
        <v>828</v>
      </c>
      <c r="T226" s="15" t="str">
        <f>HYPERLINK("http://dx.doi.org/10.1007/s12273-024-1139-0","http://dx.doi.org/10.1007/s12273-024-1139-0")</f>
        <v>http://dx.doi.org/10.1007/s12273-024-1139-0</v>
      </c>
      <c r="U226" s="15" t="s">
        <v>829</v>
      </c>
      <c r="V226" s="15" t="s">
        <v>830</v>
      </c>
    </row>
    <row r="227" spans="1:22" x14ac:dyDescent="0.4">
      <c r="A227" s="15" t="s">
        <v>843</v>
      </c>
      <c r="B227" s="15" t="s">
        <v>844</v>
      </c>
      <c r="C227" s="15" t="s">
        <v>845</v>
      </c>
      <c r="D227" s="15" t="s">
        <v>12</v>
      </c>
      <c r="E227" s="15" t="s">
        <v>262</v>
      </c>
      <c r="F227" s="15" t="s">
        <v>846</v>
      </c>
      <c r="G227" s="15" t="s">
        <v>847</v>
      </c>
      <c r="H227" s="15" t="s">
        <v>848</v>
      </c>
      <c r="I227" s="15" t="s">
        <v>849</v>
      </c>
      <c r="J227" s="15" t="s">
        <v>850</v>
      </c>
      <c r="K227" s="15" t="s">
        <v>851</v>
      </c>
      <c r="L227" s="15" t="s">
        <v>852</v>
      </c>
      <c r="M227" s="15" t="s">
        <v>19</v>
      </c>
      <c r="N227" s="15">
        <v>2024</v>
      </c>
      <c r="O227" s="15">
        <v>17</v>
      </c>
      <c r="P227" s="15">
        <v>8</v>
      </c>
      <c r="Q227" s="15">
        <v>1289</v>
      </c>
      <c r="R227" s="15">
        <v>1308</v>
      </c>
      <c r="S227" s="15" t="s">
        <v>853</v>
      </c>
      <c r="T227" s="15" t="str">
        <f>HYPERLINK("http://dx.doi.org/10.1007/s12273-024-1143-4","http://dx.doi.org/10.1007/s12273-024-1143-4")</f>
        <v>http://dx.doi.org/10.1007/s12273-024-1143-4</v>
      </c>
      <c r="U227" s="15" t="s">
        <v>701</v>
      </c>
      <c r="V227" s="15" t="s">
        <v>854</v>
      </c>
    </row>
    <row r="228" spans="1:22" x14ac:dyDescent="0.4">
      <c r="A228" s="15" t="s">
        <v>760</v>
      </c>
      <c r="B228" s="15" t="s">
        <v>761</v>
      </c>
      <c r="C228" s="15" t="s">
        <v>762</v>
      </c>
      <c r="D228" s="15" t="s">
        <v>12</v>
      </c>
      <c r="E228" s="15" t="s">
        <v>262</v>
      </c>
      <c r="F228" s="15" t="s">
        <v>763</v>
      </c>
      <c r="G228" s="15" t="s">
        <v>764</v>
      </c>
      <c r="H228" s="15" t="s">
        <v>765</v>
      </c>
      <c r="I228" s="15" t="s">
        <v>766</v>
      </c>
      <c r="J228" s="15" t="s">
        <v>281</v>
      </c>
      <c r="K228" s="15" t="s">
        <v>767</v>
      </c>
      <c r="L228" s="15" t="s">
        <v>768</v>
      </c>
      <c r="M228" s="15" t="s">
        <v>20</v>
      </c>
      <c r="N228" s="15">
        <v>2024</v>
      </c>
      <c r="O228" s="15">
        <v>17</v>
      </c>
      <c r="P228" s="15">
        <v>7</v>
      </c>
      <c r="Q228" s="15">
        <v>1161</v>
      </c>
      <c r="R228" s="15">
        <v>1182</v>
      </c>
      <c r="S228" s="15" t="s">
        <v>769</v>
      </c>
      <c r="T228" s="15" t="str">
        <f>HYPERLINK("http://dx.doi.org/10.1007/s12273-024-1131-8","http://dx.doi.org/10.1007/s12273-024-1131-8")</f>
        <v>http://dx.doi.org/10.1007/s12273-024-1131-8</v>
      </c>
      <c r="U228" s="15" t="s">
        <v>701</v>
      </c>
      <c r="V228" s="15" t="s">
        <v>770</v>
      </c>
    </row>
    <row r="229" spans="1:22" x14ac:dyDescent="0.4">
      <c r="A229" s="15" t="s">
        <v>725</v>
      </c>
      <c r="B229" s="15" t="s">
        <v>726</v>
      </c>
      <c r="C229" s="15" t="s">
        <v>727</v>
      </c>
      <c r="D229" s="15" t="s">
        <v>12</v>
      </c>
      <c r="E229" s="15" t="s">
        <v>262</v>
      </c>
      <c r="F229" s="15" t="s">
        <v>728</v>
      </c>
      <c r="G229" s="15" t="s">
        <v>729</v>
      </c>
      <c r="H229" s="15" t="s">
        <v>730</v>
      </c>
      <c r="I229" s="15" t="s">
        <v>731</v>
      </c>
      <c r="J229" s="15" t="s">
        <v>732</v>
      </c>
      <c r="K229" s="15" t="s">
        <v>733</v>
      </c>
      <c r="L229" s="15" t="s">
        <v>734</v>
      </c>
      <c r="M229" s="15" t="s">
        <v>20</v>
      </c>
      <c r="N229" s="15">
        <v>2024</v>
      </c>
      <c r="O229" s="15">
        <v>17</v>
      </c>
      <c r="P229" s="15">
        <v>7</v>
      </c>
      <c r="Q229" s="15">
        <v>1085</v>
      </c>
      <c r="R229" s="15">
        <v>1111</v>
      </c>
      <c r="S229" s="15" t="s">
        <v>735</v>
      </c>
      <c r="T229" s="15" t="str">
        <f>HYPERLINK("http://dx.doi.org/10.1007/s12273-024-1123-8","http://dx.doi.org/10.1007/s12273-024-1123-8")</f>
        <v>http://dx.doi.org/10.1007/s12273-024-1123-8</v>
      </c>
      <c r="U229" s="15" t="s">
        <v>701</v>
      </c>
      <c r="V229" s="15" t="s">
        <v>736</v>
      </c>
    </row>
    <row r="230" spans="1:22" x14ac:dyDescent="0.4">
      <c r="A230" s="15" t="s">
        <v>737</v>
      </c>
      <c r="B230" s="15" t="s">
        <v>738</v>
      </c>
      <c r="C230" s="15" t="s">
        <v>739</v>
      </c>
      <c r="D230" s="15" t="s">
        <v>12</v>
      </c>
      <c r="E230" s="15" t="s">
        <v>262</v>
      </c>
      <c r="F230" s="15" t="s">
        <v>740</v>
      </c>
      <c r="G230" s="15" t="s">
        <v>741</v>
      </c>
      <c r="H230" s="15" t="s">
        <v>742</v>
      </c>
      <c r="I230" s="15" t="s">
        <v>743</v>
      </c>
      <c r="J230" s="15" t="s">
        <v>744</v>
      </c>
      <c r="K230" s="15" t="s">
        <v>745</v>
      </c>
      <c r="L230" s="15" t="s">
        <v>746</v>
      </c>
      <c r="M230" s="15" t="s">
        <v>20</v>
      </c>
      <c r="N230" s="15">
        <v>2024</v>
      </c>
      <c r="O230" s="15">
        <v>17</v>
      </c>
      <c r="P230" s="15">
        <v>7</v>
      </c>
      <c r="Q230" s="15">
        <v>1113</v>
      </c>
      <c r="R230" s="15">
        <v>1136</v>
      </c>
      <c r="S230" s="15" t="s">
        <v>747</v>
      </c>
      <c r="T230" s="15" t="str">
        <f>HYPERLINK("http://dx.doi.org/10.1007/s12273-024-1125-6","http://dx.doi.org/10.1007/s12273-024-1125-6")</f>
        <v>http://dx.doi.org/10.1007/s12273-024-1125-6</v>
      </c>
      <c r="U230" s="15" t="s">
        <v>701</v>
      </c>
      <c r="V230" s="15" t="s">
        <v>748</v>
      </c>
    </row>
    <row r="231" spans="1:22" x14ac:dyDescent="0.4">
      <c r="A231" s="15" t="s">
        <v>923</v>
      </c>
      <c r="B231" s="15" t="s">
        <v>924</v>
      </c>
      <c r="C231" s="15" t="s">
        <v>925</v>
      </c>
      <c r="D231" s="15" t="s">
        <v>12</v>
      </c>
      <c r="E231" s="15" t="s">
        <v>262</v>
      </c>
      <c r="F231" s="15" t="s">
        <v>926</v>
      </c>
      <c r="G231" s="15" t="s">
        <v>18</v>
      </c>
      <c r="H231" s="15" t="s">
        <v>927</v>
      </c>
      <c r="I231" s="15" t="s">
        <v>928</v>
      </c>
      <c r="J231" s="15" t="s">
        <v>929</v>
      </c>
      <c r="K231" s="15" t="s">
        <v>930</v>
      </c>
      <c r="L231" s="15" t="s">
        <v>280</v>
      </c>
      <c r="M231" s="15" t="s">
        <v>19</v>
      </c>
      <c r="N231" s="15">
        <v>2024</v>
      </c>
      <c r="O231" s="15">
        <v>17</v>
      </c>
      <c r="P231" s="15">
        <v>8</v>
      </c>
      <c r="Q231" s="15">
        <v>1419</v>
      </c>
      <c r="R231" s="15">
        <v>1437</v>
      </c>
      <c r="S231" s="15" t="s">
        <v>931</v>
      </c>
      <c r="T231" s="15" t="str">
        <f>HYPERLINK("http://dx.doi.org/10.1007/s12273-024-1149-y","http://dx.doi.org/10.1007/s12273-024-1149-y")</f>
        <v>http://dx.doi.org/10.1007/s12273-024-1149-y</v>
      </c>
      <c r="U231" s="15" t="s">
        <v>701</v>
      </c>
      <c r="V231" s="15" t="s">
        <v>932</v>
      </c>
    </row>
    <row r="232" spans="1:22" x14ac:dyDescent="0.4">
      <c r="A232" s="15" t="s">
        <v>783</v>
      </c>
      <c r="B232" s="15" t="s">
        <v>784</v>
      </c>
      <c r="C232" s="15" t="s">
        <v>785</v>
      </c>
      <c r="D232" s="15" t="s">
        <v>12</v>
      </c>
      <c r="E232" s="15" t="s">
        <v>262</v>
      </c>
      <c r="F232" s="15" t="s">
        <v>786</v>
      </c>
      <c r="G232" s="15" t="s">
        <v>787</v>
      </c>
      <c r="H232" s="15" t="s">
        <v>788</v>
      </c>
      <c r="I232" s="15" t="s">
        <v>789</v>
      </c>
      <c r="J232" s="15" t="s">
        <v>790</v>
      </c>
      <c r="K232" s="15" t="s">
        <v>791</v>
      </c>
      <c r="L232" s="15" t="s">
        <v>792</v>
      </c>
      <c r="M232" s="15" t="s">
        <v>20</v>
      </c>
      <c r="N232" s="15">
        <v>2024</v>
      </c>
      <c r="O232" s="15">
        <v>17</v>
      </c>
      <c r="P232" s="15">
        <v>7</v>
      </c>
      <c r="Q232" s="15">
        <v>1201</v>
      </c>
      <c r="R232" s="15">
        <v>1212</v>
      </c>
      <c r="S232" s="15" t="s">
        <v>793</v>
      </c>
      <c r="T232" s="15" t="str">
        <f>HYPERLINK("http://dx.doi.org/10.1007/s12273-024-1135-4","http://dx.doi.org/10.1007/s12273-024-1135-4")</f>
        <v>http://dx.doi.org/10.1007/s12273-024-1135-4</v>
      </c>
      <c r="U232" s="15" t="s">
        <v>701</v>
      </c>
      <c r="V232" s="15" t="s">
        <v>794</v>
      </c>
    </row>
    <row r="233" spans="1:22" x14ac:dyDescent="0.4">
      <c r="A233" s="15" t="s">
        <v>714</v>
      </c>
      <c r="B233" s="15" t="s">
        <v>715</v>
      </c>
      <c r="C233" s="15" t="s">
        <v>716</v>
      </c>
      <c r="D233" s="15" t="s">
        <v>12</v>
      </c>
      <c r="E233" s="15" t="s">
        <v>262</v>
      </c>
      <c r="F233" s="15" t="s">
        <v>717</v>
      </c>
      <c r="G233" s="15" t="s">
        <v>718</v>
      </c>
      <c r="H233" s="15" t="s">
        <v>719</v>
      </c>
      <c r="I233" s="15" t="s">
        <v>720</v>
      </c>
      <c r="J233" s="15" t="s">
        <v>11</v>
      </c>
      <c r="K233" s="15" t="s">
        <v>721</v>
      </c>
      <c r="L233" s="15" t="s">
        <v>722</v>
      </c>
      <c r="M233" s="15" t="s">
        <v>20</v>
      </c>
      <c r="N233" s="15">
        <v>2024</v>
      </c>
      <c r="O233" s="15">
        <v>17</v>
      </c>
      <c r="P233" s="15">
        <v>7</v>
      </c>
      <c r="Q233" s="15">
        <v>1065</v>
      </c>
      <c r="R233" s="15">
        <v>1083</v>
      </c>
      <c r="S233" s="15" t="s">
        <v>723</v>
      </c>
      <c r="T233" s="15" t="str">
        <f>HYPERLINK("http://dx.doi.org/10.1007/s12273-024-1121-x","http://dx.doi.org/10.1007/s12273-024-1121-x")</f>
        <v>http://dx.doi.org/10.1007/s12273-024-1121-x</v>
      </c>
      <c r="U233" s="15" t="s">
        <v>701</v>
      </c>
      <c r="V233" s="15" t="s">
        <v>724</v>
      </c>
    </row>
    <row r="234" spans="1:22" x14ac:dyDescent="0.4">
      <c r="A234" s="15" t="s">
        <v>831</v>
      </c>
      <c r="B234" s="15" t="s">
        <v>832</v>
      </c>
      <c r="C234" s="15" t="s">
        <v>833</v>
      </c>
      <c r="D234" s="15" t="s">
        <v>12</v>
      </c>
      <c r="E234" s="15" t="s">
        <v>262</v>
      </c>
      <c r="F234" s="15" t="s">
        <v>834</v>
      </c>
      <c r="G234" s="15" t="s">
        <v>835</v>
      </c>
      <c r="H234" s="15" t="s">
        <v>836</v>
      </c>
      <c r="I234" s="15" t="s">
        <v>837</v>
      </c>
      <c r="J234" s="15" t="s">
        <v>838</v>
      </c>
      <c r="K234" s="15" t="s">
        <v>839</v>
      </c>
      <c r="L234" s="15" t="s">
        <v>840</v>
      </c>
      <c r="M234" s="15" t="s">
        <v>19</v>
      </c>
      <c r="N234" s="15">
        <v>2024</v>
      </c>
      <c r="O234" s="15">
        <v>17</v>
      </c>
      <c r="P234" s="15">
        <v>8</v>
      </c>
      <c r="Q234" s="15">
        <v>1273</v>
      </c>
      <c r="R234" s="15">
        <v>1287</v>
      </c>
      <c r="S234" s="15" t="s">
        <v>841</v>
      </c>
      <c r="T234" s="15" t="str">
        <f>HYPERLINK("http://dx.doi.org/10.1007/s12273-024-1138-1","http://dx.doi.org/10.1007/s12273-024-1138-1")</f>
        <v>http://dx.doi.org/10.1007/s12273-024-1138-1</v>
      </c>
      <c r="U234" s="15" t="s">
        <v>701</v>
      </c>
      <c r="V234" s="15" t="s">
        <v>842</v>
      </c>
    </row>
    <row r="235" spans="1:22" x14ac:dyDescent="0.4">
      <c r="A235" s="15" t="s">
        <v>806</v>
      </c>
      <c r="B235" s="15" t="s">
        <v>807</v>
      </c>
      <c r="C235" s="15" t="s">
        <v>808</v>
      </c>
      <c r="D235" s="15" t="s">
        <v>12</v>
      </c>
      <c r="E235" s="15" t="s">
        <v>262</v>
      </c>
      <c r="F235" s="15" t="s">
        <v>809</v>
      </c>
      <c r="G235" s="15" t="s">
        <v>810</v>
      </c>
      <c r="H235" s="15" t="s">
        <v>811</v>
      </c>
      <c r="I235" s="15" t="s">
        <v>812</v>
      </c>
      <c r="J235" s="15" t="s">
        <v>813</v>
      </c>
      <c r="K235" s="15" t="s">
        <v>814</v>
      </c>
      <c r="L235" s="15" t="s">
        <v>815</v>
      </c>
      <c r="M235" s="15" t="s">
        <v>19</v>
      </c>
      <c r="N235" s="15">
        <v>2024</v>
      </c>
      <c r="O235" s="15">
        <v>17</v>
      </c>
      <c r="P235" s="15">
        <v>8</v>
      </c>
      <c r="Q235" s="15">
        <v>1231</v>
      </c>
      <c r="R235" s="15">
        <v>1251</v>
      </c>
      <c r="S235" s="15" t="s">
        <v>816</v>
      </c>
      <c r="T235" s="15" t="str">
        <f>HYPERLINK("http://dx.doi.org/10.1007/s12273-024-1137-2","http://dx.doi.org/10.1007/s12273-024-1137-2")</f>
        <v>http://dx.doi.org/10.1007/s12273-024-1137-2</v>
      </c>
      <c r="U235" s="15" t="s">
        <v>587</v>
      </c>
      <c r="V235" s="15" t="s">
        <v>817</v>
      </c>
    </row>
    <row r="236" spans="1:22" x14ac:dyDescent="0.4">
      <c r="A236" s="15" t="s">
        <v>703</v>
      </c>
      <c r="B236" s="15" t="s">
        <v>704</v>
      </c>
      <c r="C236" s="15" t="s">
        <v>705</v>
      </c>
      <c r="D236" s="15" t="s">
        <v>12</v>
      </c>
      <c r="E236" s="15" t="s">
        <v>262</v>
      </c>
      <c r="F236" s="15" t="s">
        <v>706</v>
      </c>
      <c r="G236" s="15" t="s">
        <v>707</v>
      </c>
      <c r="H236" s="15" t="s">
        <v>708</v>
      </c>
      <c r="I236" s="15" t="s">
        <v>709</v>
      </c>
      <c r="J236" s="15" t="s">
        <v>292</v>
      </c>
      <c r="K236" s="15" t="s">
        <v>710</v>
      </c>
      <c r="L236" s="15" t="s">
        <v>711</v>
      </c>
      <c r="M236" s="15" t="s">
        <v>20</v>
      </c>
      <c r="N236" s="15">
        <v>2024</v>
      </c>
      <c r="O236" s="15">
        <v>17</v>
      </c>
      <c r="P236" s="15">
        <v>7</v>
      </c>
      <c r="Q236" s="15">
        <v>1043</v>
      </c>
      <c r="R236" s="15">
        <v>1063</v>
      </c>
      <c r="S236" s="15" t="s">
        <v>712</v>
      </c>
      <c r="T236" s="15" t="str">
        <f>HYPERLINK("http://dx.doi.org/10.1007/s12273-024-1127-4","http://dx.doi.org/10.1007/s12273-024-1127-4")</f>
        <v>http://dx.doi.org/10.1007/s12273-024-1127-4</v>
      </c>
      <c r="U236" s="15" t="s">
        <v>587</v>
      </c>
      <c r="V236" s="15" t="s">
        <v>713</v>
      </c>
    </row>
    <row r="237" spans="1:22" x14ac:dyDescent="0.4">
      <c r="A237" s="15" t="s">
        <v>795</v>
      </c>
      <c r="B237" s="15" t="s">
        <v>796</v>
      </c>
      <c r="C237" s="15" t="s">
        <v>797</v>
      </c>
      <c r="D237" s="15" t="s">
        <v>12</v>
      </c>
      <c r="E237" s="15" t="s">
        <v>262</v>
      </c>
      <c r="F237" s="15" t="s">
        <v>798</v>
      </c>
      <c r="G237" s="15" t="s">
        <v>799</v>
      </c>
      <c r="H237" s="15" t="s">
        <v>800</v>
      </c>
      <c r="I237" s="15" t="s">
        <v>801</v>
      </c>
      <c r="J237" s="15" t="s">
        <v>283</v>
      </c>
      <c r="K237" s="15" t="s">
        <v>802</v>
      </c>
      <c r="L237" s="15" t="s">
        <v>803</v>
      </c>
      <c r="M237" s="15" t="s">
        <v>20</v>
      </c>
      <c r="N237" s="15">
        <v>2024</v>
      </c>
      <c r="O237" s="15">
        <v>17</v>
      </c>
      <c r="P237" s="15">
        <v>7</v>
      </c>
      <c r="Q237" s="15">
        <v>1213</v>
      </c>
      <c r="R237" s="15">
        <v>1229</v>
      </c>
      <c r="S237" s="15" t="s">
        <v>804</v>
      </c>
      <c r="T237" s="15" t="str">
        <f>HYPERLINK("http://dx.doi.org/10.1007/s12273-024-1136-3","http://dx.doi.org/10.1007/s12273-024-1136-3")</f>
        <v>http://dx.doi.org/10.1007/s12273-024-1136-3</v>
      </c>
      <c r="U237" s="15" t="s">
        <v>587</v>
      </c>
      <c r="V237" s="15" t="s">
        <v>805</v>
      </c>
    </row>
    <row r="238" spans="1:22" x14ac:dyDescent="0.4">
      <c r="A238" s="15" t="s">
        <v>771</v>
      </c>
      <c r="B238" s="15" t="s">
        <v>772</v>
      </c>
      <c r="C238" s="15" t="s">
        <v>773</v>
      </c>
      <c r="D238" s="15" t="s">
        <v>12</v>
      </c>
      <c r="E238" s="15" t="s">
        <v>262</v>
      </c>
      <c r="F238" s="15" t="s">
        <v>774</v>
      </c>
      <c r="G238" s="15" t="s">
        <v>775</v>
      </c>
      <c r="H238" s="15" t="s">
        <v>776</v>
      </c>
      <c r="I238" s="15" t="s">
        <v>777</v>
      </c>
      <c r="J238" s="15" t="s">
        <v>3468</v>
      </c>
      <c r="K238" s="15" t="s">
        <v>779</v>
      </c>
      <c r="L238" s="15" t="s">
        <v>780</v>
      </c>
      <c r="M238" s="15" t="s">
        <v>20</v>
      </c>
      <c r="N238" s="15">
        <v>2024</v>
      </c>
      <c r="O238" s="15">
        <v>17</v>
      </c>
      <c r="P238" s="15">
        <v>7</v>
      </c>
      <c r="Q238" s="15">
        <v>1183</v>
      </c>
      <c r="R238" s="15">
        <v>1200</v>
      </c>
      <c r="S238" s="15" t="s">
        <v>781</v>
      </c>
      <c r="T238" s="15" t="str">
        <f>HYPERLINK("http://dx.doi.org/10.1007/s12273-024-1134-5","http://dx.doi.org/10.1007/s12273-024-1134-5")</f>
        <v>http://dx.doi.org/10.1007/s12273-024-1134-5</v>
      </c>
      <c r="U238" s="15" t="s">
        <v>587</v>
      </c>
      <c r="V238" s="15" t="s">
        <v>782</v>
      </c>
    </row>
    <row r="239" spans="1:22" x14ac:dyDescent="0.4">
      <c r="A239" s="15" t="s">
        <v>647</v>
      </c>
      <c r="B239" s="15" t="s">
        <v>648</v>
      </c>
      <c r="C239" s="15" t="s">
        <v>649</v>
      </c>
      <c r="D239" s="15" t="s">
        <v>12</v>
      </c>
      <c r="E239" s="15" t="s">
        <v>262</v>
      </c>
      <c r="F239" s="15" t="s">
        <v>650</v>
      </c>
      <c r="G239" s="15" t="s">
        <v>11</v>
      </c>
      <c r="H239" s="15" t="s">
        <v>651</v>
      </c>
      <c r="I239" s="15" t="s">
        <v>652</v>
      </c>
      <c r="J239" s="15" t="s">
        <v>653</v>
      </c>
      <c r="K239" s="15" t="s">
        <v>654</v>
      </c>
      <c r="L239" s="15" t="s">
        <v>655</v>
      </c>
      <c r="M239" s="15" t="s">
        <v>22</v>
      </c>
      <c r="N239" s="15">
        <v>2024</v>
      </c>
      <c r="O239" s="15">
        <v>17</v>
      </c>
      <c r="P239" s="15">
        <v>6</v>
      </c>
      <c r="Q239" s="15">
        <v>965</v>
      </c>
      <c r="R239" s="15">
        <v>981</v>
      </c>
      <c r="S239" s="15" t="s">
        <v>656</v>
      </c>
      <c r="T239" s="15" t="str">
        <f>HYPERLINK("http://dx.doi.org/10.1007/s12273-024-1124-7","http://dx.doi.org/10.1007/s12273-024-1124-7")</f>
        <v>http://dx.doi.org/10.1007/s12273-024-1124-7</v>
      </c>
      <c r="U239" s="15" t="s">
        <v>587</v>
      </c>
      <c r="V239" s="15" t="s">
        <v>657</v>
      </c>
    </row>
    <row r="240" spans="1:22" x14ac:dyDescent="0.4">
      <c r="A240" s="15" t="s">
        <v>576</v>
      </c>
      <c r="B240" s="15" t="s">
        <v>577</v>
      </c>
      <c r="C240" s="15" t="s">
        <v>578</v>
      </c>
      <c r="D240" s="15" t="s">
        <v>12</v>
      </c>
      <c r="E240" s="15" t="s">
        <v>262</v>
      </c>
      <c r="F240" s="15" t="s">
        <v>579</v>
      </c>
      <c r="G240" s="15" t="s">
        <v>580</v>
      </c>
      <c r="H240" s="15" t="s">
        <v>581</v>
      </c>
      <c r="I240" s="15" t="s">
        <v>582</v>
      </c>
      <c r="J240" s="15" t="s">
        <v>583</v>
      </c>
      <c r="K240" s="15" t="s">
        <v>584</v>
      </c>
      <c r="L240" s="15" t="s">
        <v>585</v>
      </c>
      <c r="M240" s="15" t="s">
        <v>22</v>
      </c>
      <c r="N240" s="15">
        <v>2024</v>
      </c>
      <c r="O240" s="15">
        <v>17</v>
      </c>
      <c r="P240" s="15">
        <v>6</v>
      </c>
      <c r="Q240" s="15">
        <v>857</v>
      </c>
      <c r="R240" s="15">
        <v>875</v>
      </c>
      <c r="S240" s="15" t="s">
        <v>586</v>
      </c>
      <c r="T240" s="15" t="str">
        <f>HYPERLINK("http://dx.doi.org/10.1007/s12273-024-1126-5","http://dx.doi.org/10.1007/s12273-024-1126-5")</f>
        <v>http://dx.doi.org/10.1007/s12273-024-1126-5</v>
      </c>
      <c r="U240" s="15" t="s">
        <v>587</v>
      </c>
      <c r="V240" s="15" t="s">
        <v>588</v>
      </c>
    </row>
    <row r="241" spans="1:22" x14ac:dyDescent="0.4">
      <c r="A241" s="15" t="s">
        <v>901</v>
      </c>
      <c r="B241" s="15" t="s">
        <v>902</v>
      </c>
      <c r="C241" s="15" t="s">
        <v>903</v>
      </c>
      <c r="D241" s="15" t="s">
        <v>12</v>
      </c>
      <c r="E241" s="15" t="s">
        <v>262</v>
      </c>
      <c r="F241" s="15" t="s">
        <v>904</v>
      </c>
      <c r="G241" s="15" t="s">
        <v>905</v>
      </c>
      <c r="H241" s="15" t="s">
        <v>906</v>
      </c>
      <c r="I241" s="15" t="s">
        <v>907</v>
      </c>
      <c r="J241" s="15" t="s">
        <v>908</v>
      </c>
      <c r="K241" s="15" t="s">
        <v>909</v>
      </c>
      <c r="L241" s="15" t="s">
        <v>910</v>
      </c>
      <c r="M241" s="15" t="s">
        <v>19</v>
      </c>
      <c r="N241" s="15">
        <v>2024</v>
      </c>
      <c r="O241" s="15">
        <v>17</v>
      </c>
      <c r="P241" s="15">
        <v>8</v>
      </c>
      <c r="Q241" s="15">
        <v>1379</v>
      </c>
      <c r="R241" s="15">
        <v>1400</v>
      </c>
      <c r="S241" s="15" t="s">
        <v>911</v>
      </c>
      <c r="T241" s="15" t="str">
        <f>HYPERLINK("http://dx.doi.org/10.1007/s12273-024-1140-7","http://dx.doi.org/10.1007/s12273-024-1140-7")</f>
        <v>http://dx.doi.org/10.1007/s12273-024-1140-7</v>
      </c>
      <c r="U241" s="15" t="s">
        <v>587</v>
      </c>
      <c r="V241" s="15" t="s">
        <v>912</v>
      </c>
    </row>
    <row r="242" spans="1:22" x14ac:dyDescent="0.4">
      <c r="A242" s="15" t="s">
        <v>749</v>
      </c>
      <c r="B242" s="15" t="s">
        <v>750</v>
      </c>
      <c r="C242" s="15" t="s">
        <v>751</v>
      </c>
      <c r="D242" s="15" t="s">
        <v>12</v>
      </c>
      <c r="E242" s="15" t="s">
        <v>262</v>
      </c>
      <c r="F242" s="15" t="s">
        <v>752</v>
      </c>
      <c r="G242" s="15" t="s">
        <v>753</v>
      </c>
      <c r="H242" s="15" t="s">
        <v>754</v>
      </c>
      <c r="I242" s="15" t="s">
        <v>755</v>
      </c>
      <c r="J242" s="15" t="s">
        <v>665</v>
      </c>
      <c r="K242" s="15" t="s">
        <v>756</v>
      </c>
      <c r="L242" s="15" t="s">
        <v>757</v>
      </c>
      <c r="M242" s="15" t="s">
        <v>20</v>
      </c>
      <c r="N242" s="15">
        <v>2024</v>
      </c>
      <c r="O242" s="15">
        <v>17</v>
      </c>
      <c r="P242" s="15">
        <v>7</v>
      </c>
      <c r="Q242" s="15">
        <v>1137</v>
      </c>
      <c r="R242" s="15">
        <v>1159</v>
      </c>
      <c r="S242" s="15" t="s">
        <v>758</v>
      </c>
      <c r="T242" s="15" t="str">
        <f>HYPERLINK("http://dx.doi.org/10.1007/s12273-024-1130-9","http://dx.doi.org/10.1007/s12273-024-1130-9")</f>
        <v>http://dx.doi.org/10.1007/s12273-024-1130-9</v>
      </c>
      <c r="U242" s="15" t="s">
        <v>587</v>
      </c>
      <c r="V242" s="15" t="s">
        <v>759</v>
      </c>
    </row>
    <row r="243" spans="1:22" x14ac:dyDescent="0.4">
      <c r="A243" s="15" t="s">
        <v>589</v>
      </c>
      <c r="B243" s="15" t="s">
        <v>590</v>
      </c>
      <c r="C243" s="15" t="s">
        <v>591</v>
      </c>
      <c r="D243" s="15" t="s">
        <v>12</v>
      </c>
      <c r="E243" s="15" t="s">
        <v>262</v>
      </c>
      <c r="F243" s="15" t="s">
        <v>592</v>
      </c>
      <c r="G243" s="15" t="s">
        <v>593</v>
      </c>
      <c r="H243" s="15" t="s">
        <v>594</v>
      </c>
      <c r="I243" s="15" t="s">
        <v>595</v>
      </c>
      <c r="J243" s="15" t="s">
        <v>596</v>
      </c>
      <c r="K243" s="15" t="s">
        <v>597</v>
      </c>
      <c r="L243" s="15" t="s">
        <v>598</v>
      </c>
      <c r="M243" s="15" t="s">
        <v>22</v>
      </c>
      <c r="N243" s="15">
        <v>2024</v>
      </c>
      <c r="O243" s="15">
        <v>17</v>
      </c>
      <c r="P243" s="15">
        <v>6</v>
      </c>
      <c r="Q243" s="15">
        <v>877</v>
      </c>
      <c r="R243" s="15">
        <v>892</v>
      </c>
      <c r="S243" s="15" t="s">
        <v>599</v>
      </c>
      <c r="T243" s="15" t="str">
        <f>HYPERLINK("http://dx.doi.org/10.1007/s12273-024-1111-z","http://dx.doi.org/10.1007/s12273-024-1111-z")</f>
        <v>http://dx.doi.org/10.1007/s12273-024-1111-z</v>
      </c>
      <c r="U243" s="15" t="s">
        <v>587</v>
      </c>
      <c r="V243" s="15" t="s">
        <v>600</v>
      </c>
    </row>
    <row r="244" spans="1:22" x14ac:dyDescent="0.4">
      <c r="A244" s="15" t="s">
        <v>625</v>
      </c>
      <c r="B244" s="15" t="s">
        <v>626</v>
      </c>
      <c r="C244" s="15" t="s">
        <v>627</v>
      </c>
      <c r="D244" s="15" t="s">
        <v>12</v>
      </c>
      <c r="E244" s="15" t="s">
        <v>262</v>
      </c>
      <c r="F244" s="15" t="s">
        <v>628</v>
      </c>
      <c r="G244" s="15" t="s">
        <v>629</v>
      </c>
      <c r="H244" s="15" t="s">
        <v>630</v>
      </c>
      <c r="I244" s="15" t="s">
        <v>631</v>
      </c>
      <c r="J244" s="15" t="s">
        <v>632</v>
      </c>
      <c r="K244" s="15" t="s">
        <v>633</v>
      </c>
      <c r="L244" s="15" t="s">
        <v>634</v>
      </c>
      <c r="M244" s="15" t="s">
        <v>22</v>
      </c>
      <c r="N244" s="15">
        <v>2024</v>
      </c>
      <c r="O244" s="15">
        <v>17</v>
      </c>
      <c r="P244" s="15">
        <v>6</v>
      </c>
      <c r="Q244" s="15">
        <v>933</v>
      </c>
      <c r="R244" s="15">
        <v>954</v>
      </c>
      <c r="S244" s="15" t="s">
        <v>635</v>
      </c>
      <c r="T244" s="15" t="str">
        <f>HYPERLINK("http://dx.doi.org/10.1007/s12273-024-1122-9","http://dx.doi.org/10.1007/s12273-024-1122-9")</f>
        <v>http://dx.doi.org/10.1007/s12273-024-1122-9</v>
      </c>
      <c r="U244" s="15" t="s">
        <v>623</v>
      </c>
      <c r="V244" s="15" t="s">
        <v>636</v>
      </c>
    </row>
    <row r="245" spans="1:22" x14ac:dyDescent="0.4">
      <c r="A245" s="15" t="s">
        <v>613</v>
      </c>
      <c r="B245" s="15" t="s">
        <v>614</v>
      </c>
      <c r="C245" s="15" t="s">
        <v>615</v>
      </c>
      <c r="D245" s="15" t="s">
        <v>12</v>
      </c>
      <c r="E245" s="15" t="s">
        <v>262</v>
      </c>
      <c r="F245" s="15" t="s">
        <v>616</v>
      </c>
      <c r="G245" s="15" t="s">
        <v>617</v>
      </c>
      <c r="H245" s="15" t="s">
        <v>618</v>
      </c>
      <c r="I245" s="15" t="s">
        <v>619</v>
      </c>
      <c r="J245" s="15" t="s">
        <v>439</v>
      </c>
      <c r="K245" s="15" t="s">
        <v>620</v>
      </c>
      <c r="L245" s="15" t="s">
        <v>621</v>
      </c>
      <c r="M245" s="15" t="s">
        <v>22</v>
      </c>
      <c r="N245" s="15">
        <v>2024</v>
      </c>
      <c r="O245" s="15">
        <v>17</v>
      </c>
      <c r="P245" s="15">
        <v>6</v>
      </c>
      <c r="Q245" s="15">
        <v>907</v>
      </c>
      <c r="R245" s="15">
        <v>932</v>
      </c>
      <c r="S245" s="15" t="s">
        <v>622</v>
      </c>
      <c r="T245" s="15" t="str">
        <f>HYPERLINK("http://dx.doi.org/10.1007/s12273-024-1119-4","http://dx.doi.org/10.1007/s12273-024-1119-4")</f>
        <v>http://dx.doi.org/10.1007/s12273-024-1119-4</v>
      </c>
      <c r="U245" s="15" t="s">
        <v>623</v>
      </c>
      <c r="V245" s="15" t="s">
        <v>624</v>
      </c>
    </row>
    <row r="246" spans="1:22" x14ac:dyDescent="0.4">
      <c r="A246" s="15" t="s">
        <v>682</v>
      </c>
      <c r="B246" s="15" t="s">
        <v>683</v>
      </c>
      <c r="C246" s="15" t="s">
        <v>684</v>
      </c>
      <c r="D246" s="15" t="s">
        <v>12</v>
      </c>
      <c r="E246" s="15" t="s">
        <v>262</v>
      </c>
      <c r="F246" s="15" t="s">
        <v>685</v>
      </c>
      <c r="G246" s="15" t="s">
        <v>686</v>
      </c>
      <c r="H246" s="15" t="s">
        <v>687</v>
      </c>
      <c r="I246" s="15" t="s">
        <v>688</v>
      </c>
      <c r="J246" s="15" t="s">
        <v>284</v>
      </c>
      <c r="K246" s="15" t="s">
        <v>689</v>
      </c>
      <c r="L246" s="15" t="s">
        <v>690</v>
      </c>
      <c r="M246" s="15" t="s">
        <v>22</v>
      </c>
      <c r="N246" s="15">
        <v>2024</v>
      </c>
      <c r="O246" s="15">
        <v>17</v>
      </c>
      <c r="P246" s="15">
        <v>6</v>
      </c>
      <c r="Q246" s="15">
        <v>1023</v>
      </c>
      <c r="R246" s="15">
        <v>1036</v>
      </c>
      <c r="S246" s="15" t="s">
        <v>691</v>
      </c>
      <c r="T246" s="15" t="str">
        <f>HYPERLINK("http://dx.doi.org/10.1007/s12273-024-1132-7","http://dx.doi.org/10.1007/s12273-024-1132-7")</f>
        <v>http://dx.doi.org/10.1007/s12273-024-1132-7</v>
      </c>
      <c r="U246" s="15" t="s">
        <v>623</v>
      </c>
      <c r="V246" s="15" t="s">
        <v>692</v>
      </c>
    </row>
    <row r="247" spans="1:22" x14ac:dyDescent="0.4">
      <c r="A247" s="15" t="s">
        <v>670</v>
      </c>
      <c r="B247" s="15" t="s">
        <v>671</v>
      </c>
      <c r="C247" s="15" t="s">
        <v>672</v>
      </c>
      <c r="D247" s="15" t="s">
        <v>12</v>
      </c>
      <c r="E247" s="15" t="s">
        <v>262</v>
      </c>
      <c r="F247" s="15" t="s">
        <v>673</v>
      </c>
      <c r="G247" s="15" t="s">
        <v>674</v>
      </c>
      <c r="H247" s="15" t="s">
        <v>675</v>
      </c>
      <c r="I247" s="15" t="s">
        <v>676</v>
      </c>
      <c r="J247" s="15" t="s">
        <v>677</v>
      </c>
      <c r="K247" s="15" t="s">
        <v>678</v>
      </c>
      <c r="L247" s="15" t="s">
        <v>679</v>
      </c>
      <c r="M247" s="15" t="s">
        <v>22</v>
      </c>
      <c r="N247" s="15">
        <v>2024</v>
      </c>
      <c r="O247" s="15">
        <v>17</v>
      </c>
      <c r="P247" s="15">
        <v>6</v>
      </c>
      <c r="Q247" s="15">
        <v>1007</v>
      </c>
      <c r="R247" s="15">
        <v>1021</v>
      </c>
      <c r="S247" s="15" t="s">
        <v>680</v>
      </c>
      <c r="T247" s="15" t="str">
        <f>HYPERLINK("http://dx.doi.org/10.1007/s12273-024-1118-5","http://dx.doi.org/10.1007/s12273-024-1118-5")</f>
        <v>http://dx.doi.org/10.1007/s12273-024-1118-5</v>
      </c>
      <c r="U247" s="15" t="s">
        <v>623</v>
      </c>
      <c r="V247" s="15" t="s">
        <v>681</v>
      </c>
    </row>
    <row r="248" spans="1:22" x14ac:dyDescent="0.4">
      <c r="A248" s="15" t="s">
        <v>637</v>
      </c>
      <c r="B248" s="15" t="s">
        <v>638</v>
      </c>
      <c r="C248" s="15" t="s">
        <v>639</v>
      </c>
      <c r="D248" s="15" t="s">
        <v>12</v>
      </c>
      <c r="E248" s="15" t="s">
        <v>262</v>
      </c>
      <c r="F248" s="15" t="s">
        <v>640</v>
      </c>
      <c r="G248" s="15" t="s">
        <v>641</v>
      </c>
      <c r="H248" s="15" t="s">
        <v>642</v>
      </c>
      <c r="I248" s="15" t="s">
        <v>643</v>
      </c>
      <c r="J248" s="15" t="s">
        <v>644</v>
      </c>
      <c r="K248" s="15" t="s">
        <v>298</v>
      </c>
      <c r="L248" s="15" t="s">
        <v>299</v>
      </c>
      <c r="M248" s="15" t="s">
        <v>22</v>
      </c>
      <c r="N248" s="15">
        <v>2024</v>
      </c>
      <c r="O248" s="15">
        <v>17</v>
      </c>
      <c r="P248" s="15">
        <v>6</v>
      </c>
      <c r="Q248" s="15">
        <v>955</v>
      </c>
      <c r="R248" s="15">
        <v>964</v>
      </c>
      <c r="S248" s="15" t="s">
        <v>645</v>
      </c>
      <c r="T248" s="15" t="str">
        <f>HYPERLINK("http://dx.doi.org/10.1007/s12273-024-1120-y","http://dx.doi.org/10.1007/s12273-024-1120-y")</f>
        <v>http://dx.doi.org/10.1007/s12273-024-1120-y</v>
      </c>
      <c r="U248" s="15" t="s">
        <v>491</v>
      </c>
      <c r="V248" s="15" t="s">
        <v>646</v>
      </c>
    </row>
    <row r="249" spans="1:22" x14ac:dyDescent="0.4">
      <c r="A249" s="15" t="s">
        <v>658</v>
      </c>
      <c r="B249" s="15" t="s">
        <v>659</v>
      </c>
      <c r="C249" s="15" t="s">
        <v>660</v>
      </c>
      <c r="D249" s="15" t="s">
        <v>12</v>
      </c>
      <c r="E249" s="15" t="s">
        <v>262</v>
      </c>
      <c r="F249" s="15" t="s">
        <v>661</v>
      </c>
      <c r="G249" s="15" t="s">
        <v>662</v>
      </c>
      <c r="H249" s="15" t="s">
        <v>663</v>
      </c>
      <c r="I249" s="15" t="s">
        <v>664</v>
      </c>
      <c r="J249" s="15" t="s">
        <v>665</v>
      </c>
      <c r="K249" s="15" t="s">
        <v>666</v>
      </c>
      <c r="L249" s="15" t="s">
        <v>667</v>
      </c>
      <c r="M249" s="15" t="s">
        <v>22</v>
      </c>
      <c r="N249" s="15">
        <v>2024</v>
      </c>
      <c r="O249" s="15">
        <v>17</v>
      </c>
      <c r="P249" s="15">
        <v>6</v>
      </c>
      <c r="Q249" s="15">
        <v>983</v>
      </c>
      <c r="R249" s="15">
        <v>1006</v>
      </c>
      <c r="S249" s="15" t="s">
        <v>668</v>
      </c>
      <c r="T249" s="15" t="str">
        <f>HYPERLINK("http://dx.doi.org/10.1007/s12273-024-1117-6","http://dx.doi.org/10.1007/s12273-024-1117-6")</f>
        <v>http://dx.doi.org/10.1007/s12273-024-1117-6</v>
      </c>
      <c r="U249" s="15" t="s">
        <v>491</v>
      </c>
      <c r="V249" s="15" t="s">
        <v>669</v>
      </c>
    </row>
    <row r="250" spans="1:22" x14ac:dyDescent="0.4">
      <c r="A250" s="15" t="s">
        <v>564</v>
      </c>
      <c r="B250" s="15" t="s">
        <v>565</v>
      </c>
      <c r="C250" s="15" t="s">
        <v>566</v>
      </c>
      <c r="D250" s="15" t="s">
        <v>12</v>
      </c>
      <c r="E250" s="15" t="s">
        <v>262</v>
      </c>
      <c r="F250" s="15" t="s">
        <v>567</v>
      </c>
      <c r="G250" s="15" t="s">
        <v>568</v>
      </c>
      <c r="H250" s="15" t="s">
        <v>569</v>
      </c>
      <c r="I250" s="15" t="s">
        <v>570</v>
      </c>
      <c r="J250" s="15" t="s">
        <v>571</v>
      </c>
      <c r="K250" s="15" t="s">
        <v>572</v>
      </c>
      <c r="L250" s="15" t="s">
        <v>573</v>
      </c>
      <c r="M250" s="15" t="s">
        <v>21</v>
      </c>
      <c r="N250" s="15">
        <v>2024</v>
      </c>
      <c r="O250" s="15">
        <v>17</v>
      </c>
      <c r="P250" s="15">
        <v>5</v>
      </c>
      <c r="Q250" s="15">
        <v>839</v>
      </c>
      <c r="R250" s="15">
        <v>855</v>
      </c>
      <c r="S250" s="15" t="s">
        <v>574</v>
      </c>
      <c r="T250" s="15" t="str">
        <f>HYPERLINK("http://dx.doi.org/10.1007/s12273-024-1114-9","http://dx.doi.org/10.1007/s12273-024-1114-9")</f>
        <v>http://dx.doi.org/10.1007/s12273-024-1114-9</v>
      </c>
      <c r="U250" s="15" t="s">
        <v>491</v>
      </c>
      <c r="V250" s="15" t="s">
        <v>575</v>
      </c>
    </row>
    <row r="251" spans="1:22" x14ac:dyDescent="0.4">
      <c r="A251" s="15" t="s">
        <v>493</v>
      </c>
      <c r="B251" s="15" t="s">
        <v>494</v>
      </c>
      <c r="C251" s="15" t="s">
        <v>495</v>
      </c>
      <c r="D251" s="15" t="s">
        <v>12</v>
      </c>
      <c r="E251" s="15" t="s">
        <v>262</v>
      </c>
      <c r="F251" s="15" t="s">
        <v>496</v>
      </c>
      <c r="G251" s="15" t="s">
        <v>497</v>
      </c>
      <c r="H251" s="15" t="s">
        <v>498</v>
      </c>
      <c r="I251" s="15" t="s">
        <v>499</v>
      </c>
      <c r="J251" s="15" t="s">
        <v>500</v>
      </c>
      <c r="K251" s="15" t="s">
        <v>501</v>
      </c>
      <c r="L251" s="15" t="s">
        <v>502</v>
      </c>
      <c r="M251" s="15" t="s">
        <v>21</v>
      </c>
      <c r="N251" s="15">
        <v>2024</v>
      </c>
      <c r="O251" s="15">
        <v>17</v>
      </c>
      <c r="P251" s="15">
        <v>5</v>
      </c>
      <c r="Q251" s="15">
        <v>723</v>
      </c>
      <c r="R251" s="15">
        <v>738</v>
      </c>
      <c r="S251" s="15" t="s">
        <v>503</v>
      </c>
      <c r="T251" s="15" t="str">
        <f>HYPERLINK("http://dx.doi.org/10.1007/s12273-024-1113-x","http://dx.doi.org/10.1007/s12273-024-1113-x")</f>
        <v>http://dx.doi.org/10.1007/s12273-024-1113-x</v>
      </c>
      <c r="U251" s="15" t="s">
        <v>491</v>
      </c>
      <c r="V251" s="15" t="s">
        <v>504</v>
      </c>
    </row>
    <row r="252" spans="1:22" x14ac:dyDescent="0.4">
      <c r="A252" s="15" t="s">
        <v>601</v>
      </c>
      <c r="B252" s="15" t="s">
        <v>602</v>
      </c>
      <c r="C252" s="15" t="s">
        <v>603</v>
      </c>
      <c r="D252" s="15" t="s">
        <v>12</v>
      </c>
      <c r="E252" s="15" t="s">
        <v>262</v>
      </c>
      <c r="F252" s="15" t="s">
        <v>604</v>
      </c>
      <c r="G252" s="15" t="s">
        <v>605</v>
      </c>
      <c r="H252" s="15" t="s">
        <v>606</v>
      </c>
      <c r="I252" s="15" t="s">
        <v>607</v>
      </c>
      <c r="J252" s="15" t="s">
        <v>608</v>
      </c>
      <c r="K252" s="15" t="s">
        <v>609</v>
      </c>
      <c r="L252" s="15" t="s">
        <v>610</v>
      </c>
      <c r="M252" s="15" t="s">
        <v>22</v>
      </c>
      <c r="N252" s="15">
        <v>2024</v>
      </c>
      <c r="O252" s="15">
        <v>17</v>
      </c>
      <c r="P252" s="15">
        <v>6</v>
      </c>
      <c r="Q252" s="15">
        <v>893</v>
      </c>
      <c r="R252" s="15">
        <v>906</v>
      </c>
      <c r="S252" s="15" t="s">
        <v>611</v>
      </c>
      <c r="T252" s="15" t="str">
        <f>HYPERLINK("http://dx.doi.org/10.1007/s12273-024-1116-7","http://dx.doi.org/10.1007/s12273-024-1116-7")</f>
        <v>http://dx.doi.org/10.1007/s12273-024-1116-7</v>
      </c>
      <c r="U252" s="15" t="s">
        <v>491</v>
      </c>
      <c r="V252" s="15" t="s">
        <v>612</v>
      </c>
    </row>
    <row r="253" spans="1:22" x14ac:dyDescent="0.4">
      <c r="A253" s="15" t="s">
        <v>456</v>
      </c>
      <c r="B253" s="15" t="s">
        <v>457</v>
      </c>
      <c r="C253" s="15" t="s">
        <v>458</v>
      </c>
      <c r="D253" s="15" t="s">
        <v>12</v>
      </c>
      <c r="E253" s="15" t="s">
        <v>262</v>
      </c>
      <c r="F253" s="15" t="s">
        <v>459</v>
      </c>
      <c r="G253" s="15" t="s">
        <v>460</v>
      </c>
      <c r="H253" s="15" t="s">
        <v>461</v>
      </c>
      <c r="I253" s="15" t="s">
        <v>462</v>
      </c>
      <c r="J253" s="15" t="s">
        <v>463</v>
      </c>
      <c r="K253" s="15" t="s">
        <v>464</v>
      </c>
      <c r="L253" s="15" t="s">
        <v>465</v>
      </c>
      <c r="M253" s="15" t="s">
        <v>23</v>
      </c>
      <c r="N253" s="15">
        <v>2024</v>
      </c>
      <c r="O253" s="15">
        <v>17</v>
      </c>
      <c r="P253" s="15">
        <v>4</v>
      </c>
      <c r="Q253" s="15">
        <v>657</v>
      </c>
      <c r="R253" s="15">
        <v>676</v>
      </c>
      <c r="S253" s="15" t="s">
        <v>466</v>
      </c>
      <c r="T253" s="15" t="str">
        <f>HYPERLINK("http://dx.doi.org/10.1007/s12273-024-1115-8","http://dx.doi.org/10.1007/s12273-024-1115-8")</f>
        <v>http://dx.doi.org/10.1007/s12273-024-1115-8</v>
      </c>
      <c r="U253" s="15" t="s">
        <v>359</v>
      </c>
      <c r="V253" s="15" t="s">
        <v>467</v>
      </c>
    </row>
    <row r="254" spans="1:22" x14ac:dyDescent="0.4">
      <c r="A254" s="15" t="s">
        <v>468</v>
      </c>
      <c r="B254" s="15" t="s">
        <v>469</v>
      </c>
      <c r="C254" s="15" t="s">
        <v>470</v>
      </c>
      <c r="D254" s="15" t="s">
        <v>12</v>
      </c>
      <c r="E254" s="15" t="s">
        <v>262</v>
      </c>
      <c r="F254" s="15" t="s">
        <v>471</v>
      </c>
      <c r="G254" s="15" t="s">
        <v>472</v>
      </c>
      <c r="H254" s="15" t="s">
        <v>473</v>
      </c>
      <c r="I254" s="15" t="s">
        <v>474</v>
      </c>
      <c r="J254" s="15" t="s">
        <v>475</v>
      </c>
      <c r="K254" s="15" t="s">
        <v>476</v>
      </c>
      <c r="L254" s="15" t="s">
        <v>477</v>
      </c>
      <c r="M254" s="15" t="s">
        <v>21</v>
      </c>
      <c r="N254" s="15">
        <v>2024</v>
      </c>
      <c r="O254" s="15">
        <v>17</v>
      </c>
      <c r="P254" s="15">
        <v>5</v>
      </c>
      <c r="Q254" s="15">
        <v>679</v>
      </c>
      <c r="R254" s="15">
        <v>694</v>
      </c>
      <c r="S254" s="15" t="s">
        <v>478</v>
      </c>
      <c r="T254" s="15" t="str">
        <f>HYPERLINK("http://dx.doi.org/10.1007/s12273-024-1110-0","http://dx.doi.org/10.1007/s12273-024-1110-0")</f>
        <v>http://dx.doi.org/10.1007/s12273-024-1110-0</v>
      </c>
      <c r="U254" s="15" t="s">
        <v>359</v>
      </c>
      <c r="V254" s="15" t="s">
        <v>479</v>
      </c>
    </row>
    <row r="255" spans="1:22" x14ac:dyDescent="0.4">
      <c r="A255" s="15" t="s">
        <v>552</v>
      </c>
      <c r="B255" s="15" t="s">
        <v>553</v>
      </c>
      <c r="C255" s="15" t="s">
        <v>554</v>
      </c>
      <c r="D255" s="15" t="s">
        <v>12</v>
      </c>
      <c r="E255" s="15" t="s">
        <v>262</v>
      </c>
      <c r="F255" s="15" t="s">
        <v>555</v>
      </c>
      <c r="G255" s="15" t="s">
        <v>556</v>
      </c>
      <c r="H255" s="15" t="s">
        <v>557</v>
      </c>
      <c r="I255" s="15" t="s">
        <v>558</v>
      </c>
      <c r="J255" s="15" t="s">
        <v>559</v>
      </c>
      <c r="K255" s="15" t="s">
        <v>560</v>
      </c>
      <c r="L255" s="15" t="s">
        <v>561</v>
      </c>
      <c r="M255" s="15" t="s">
        <v>21</v>
      </c>
      <c r="N255" s="15">
        <v>2024</v>
      </c>
      <c r="O255" s="15">
        <v>17</v>
      </c>
      <c r="P255" s="15">
        <v>5</v>
      </c>
      <c r="Q255" s="15">
        <v>819</v>
      </c>
      <c r="R255" s="15">
        <v>838</v>
      </c>
      <c r="S255" s="15" t="s">
        <v>562</v>
      </c>
      <c r="T255" s="15" t="str">
        <f>HYPERLINK("http://dx.doi.org/10.1007/s12273-024-1108-7","http://dx.doi.org/10.1007/s12273-024-1108-7")</f>
        <v>http://dx.doi.org/10.1007/s12273-024-1108-7</v>
      </c>
      <c r="U255" s="15" t="s">
        <v>359</v>
      </c>
      <c r="V255" s="15" t="s">
        <v>563</v>
      </c>
    </row>
    <row r="256" spans="1:22" x14ac:dyDescent="0.4">
      <c r="A256" s="15" t="s">
        <v>348</v>
      </c>
      <c r="B256" s="15" t="s">
        <v>349</v>
      </c>
      <c r="C256" s="15" t="s">
        <v>350</v>
      </c>
      <c r="D256" s="15" t="s">
        <v>12</v>
      </c>
      <c r="E256" s="15" t="s">
        <v>262</v>
      </c>
      <c r="F256" s="15" t="s">
        <v>351</v>
      </c>
      <c r="G256" s="15" t="s">
        <v>352</v>
      </c>
      <c r="H256" s="15" t="s">
        <v>353</v>
      </c>
      <c r="I256" s="15" t="s">
        <v>354</v>
      </c>
      <c r="J256" s="15" t="s">
        <v>3469</v>
      </c>
      <c r="K256" s="15" t="s">
        <v>356</v>
      </c>
      <c r="L256" s="15" t="s">
        <v>357</v>
      </c>
      <c r="M256" s="15" t="s">
        <v>23</v>
      </c>
      <c r="N256" s="15">
        <v>2024</v>
      </c>
      <c r="O256" s="15">
        <v>17</v>
      </c>
      <c r="P256" s="15">
        <v>4</v>
      </c>
      <c r="Q256" s="15">
        <v>509</v>
      </c>
      <c r="R256" s="15">
        <v>524</v>
      </c>
      <c r="S256" s="15" t="s">
        <v>358</v>
      </c>
      <c r="T256" s="15" t="str">
        <f>HYPERLINK("http://dx.doi.org/10.1007/s12273-024-1103-z","http://dx.doi.org/10.1007/s12273-024-1103-z")</f>
        <v>http://dx.doi.org/10.1007/s12273-024-1103-z</v>
      </c>
      <c r="U256" s="15" t="s">
        <v>359</v>
      </c>
      <c r="V256" s="15" t="s">
        <v>360</v>
      </c>
    </row>
    <row r="257" spans="1:22" x14ac:dyDescent="0.4">
      <c r="A257" s="15" t="s">
        <v>505</v>
      </c>
      <c r="B257" s="15" t="s">
        <v>506</v>
      </c>
      <c r="C257" s="15" t="s">
        <v>507</v>
      </c>
      <c r="D257" s="15" t="s">
        <v>12</v>
      </c>
      <c r="E257" s="15" t="s">
        <v>262</v>
      </c>
      <c r="F257" s="15" t="s">
        <v>508</v>
      </c>
      <c r="G257" s="15" t="s">
        <v>509</v>
      </c>
      <c r="H257" s="15" t="s">
        <v>510</v>
      </c>
      <c r="I257" s="15" t="s">
        <v>511</v>
      </c>
      <c r="J257" s="15" t="s">
        <v>512</v>
      </c>
      <c r="K257" s="15" t="s">
        <v>513</v>
      </c>
      <c r="L257" s="15" t="s">
        <v>514</v>
      </c>
      <c r="M257" s="15" t="s">
        <v>21</v>
      </c>
      <c r="N257" s="15">
        <v>2024</v>
      </c>
      <c r="O257" s="15">
        <v>17</v>
      </c>
      <c r="P257" s="15">
        <v>5</v>
      </c>
      <c r="Q257" s="15">
        <v>739</v>
      </c>
      <c r="R257" s="15">
        <v>770</v>
      </c>
      <c r="S257" s="15" t="s">
        <v>515</v>
      </c>
      <c r="T257" s="15" t="str">
        <f>HYPERLINK("http://dx.doi.org/10.1007/s12273-024-1109-6","http://dx.doi.org/10.1007/s12273-024-1109-6")</f>
        <v>http://dx.doi.org/10.1007/s12273-024-1109-6</v>
      </c>
      <c r="U257" s="15" t="s">
        <v>359</v>
      </c>
      <c r="V257" s="15" t="s">
        <v>516</v>
      </c>
    </row>
    <row r="258" spans="1:22" x14ac:dyDescent="0.4">
      <c r="A258" s="15" t="s">
        <v>409</v>
      </c>
      <c r="B258" s="15" t="s">
        <v>410</v>
      </c>
      <c r="C258" s="15" t="s">
        <v>411</v>
      </c>
      <c r="D258" s="15" t="s">
        <v>12</v>
      </c>
      <c r="E258" s="15" t="s">
        <v>262</v>
      </c>
      <c r="F258" s="15" t="s">
        <v>412</v>
      </c>
      <c r="G258" s="15" t="s">
        <v>413</v>
      </c>
      <c r="H258" s="15" t="s">
        <v>414</v>
      </c>
      <c r="I258" s="15" t="s">
        <v>415</v>
      </c>
      <c r="J258" s="15" t="s">
        <v>281</v>
      </c>
      <c r="K258" s="15" t="s">
        <v>416</v>
      </c>
      <c r="L258" s="15" t="s">
        <v>417</v>
      </c>
      <c r="M258" s="15" t="s">
        <v>23</v>
      </c>
      <c r="N258" s="15">
        <v>2024</v>
      </c>
      <c r="O258" s="15">
        <v>17</v>
      </c>
      <c r="P258" s="15">
        <v>4</v>
      </c>
      <c r="Q258" s="15">
        <v>591</v>
      </c>
      <c r="R258" s="15">
        <v>605</v>
      </c>
      <c r="S258" s="15" t="s">
        <v>418</v>
      </c>
      <c r="T258" s="15" t="str">
        <f>HYPERLINK("http://dx.doi.org/10.1007/s12273-024-1101-1","http://dx.doi.org/10.1007/s12273-024-1101-1")</f>
        <v>http://dx.doi.org/10.1007/s12273-024-1101-1</v>
      </c>
      <c r="U258" s="15" t="s">
        <v>359</v>
      </c>
      <c r="V258" s="15" t="s">
        <v>419</v>
      </c>
    </row>
    <row r="259" spans="1:22" x14ac:dyDescent="0.4">
      <c r="A259" s="15" t="s">
        <v>373</v>
      </c>
      <c r="B259" s="15" t="s">
        <v>374</v>
      </c>
      <c r="C259" s="15" t="s">
        <v>375</v>
      </c>
      <c r="D259" s="15" t="s">
        <v>12</v>
      </c>
      <c r="E259" s="15" t="s">
        <v>262</v>
      </c>
      <c r="F259" s="15" t="s">
        <v>376</v>
      </c>
      <c r="G259" s="15" t="s">
        <v>377</v>
      </c>
      <c r="H259" s="15" t="s">
        <v>378</v>
      </c>
      <c r="I259" s="15" t="s">
        <v>379</v>
      </c>
      <c r="J259" s="15" t="s">
        <v>380</v>
      </c>
      <c r="K259" s="15" t="s">
        <v>381</v>
      </c>
      <c r="L259" s="15" t="s">
        <v>382</v>
      </c>
      <c r="M259" s="15" t="s">
        <v>23</v>
      </c>
      <c r="N259" s="15">
        <v>2024</v>
      </c>
      <c r="O259" s="15">
        <v>17</v>
      </c>
      <c r="P259" s="15">
        <v>4</v>
      </c>
      <c r="Q259" s="15">
        <v>543</v>
      </c>
      <c r="R259" s="15">
        <v>560</v>
      </c>
      <c r="S259" s="15" t="s">
        <v>383</v>
      </c>
      <c r="T259" s="15" t="str">
        <f>HYPERLINK("http://dx.doi.org/10.1007/s12273-023-1098-x","http://dx.doi.org/10.1007/s12273-023-1098-x")</f>
        <v>http://dx.doi.org/10.1007/s12273-023-1098-x</v>
      </c>
      <c r="U259" s="15" t="s">
        <v>359</v>
      </c>
      <c r="V259" s="15" t="s">
        <v>384</v>
      </c>
    </row>
    <row r="260" spans="1:22" x14ac:dyDescent="0.4">
      <c r="A260" s="15" t="s">
        <v>385</v>
      </c>
      <c r="B260" s="15" t="s">
        <v>386</v>
      </c>
      <c r="C260" s="15" t="s">
        <v>387</v>
      </c>
      <c r="D260" s="15" t="s">
        <v>12</v>
      </c>
      <c r="E260" s="15" t="s">
        <v>262</v>
      </c>
      <c r="F260" s="15" t="s">
        <v>388</v>
      </c>
      <c r="G260" s="15" t="s">
        <v>389</v>
      </c>
      <c r="H260" s="15" t="s">
        <v>390</v>
      </c>
      <c r="I260" s="15" t="s">
        <v>391</v>
      </c>
      <c r="J260" s="15" t="s">
        <v>392</v>
      </c>
      <c r="K260" s="15" t="s">
        <v>393</v>
      </c>
      <c r="L260" s="15" t="s">
        <v>394</v>
      </c>
      <c r="M260" s="15" t="s">
        <v>23</v>
      </c>
      <c r="N260" s="15">
        <v>2024</v>
      </c>
      <c r="O260" s="15">
        <v>17</v>
      </c>
      <c r="P260" s="15">
        <v>4</v>
      </c>
      <c r="Q260" s="15">
        <v>561</v>
      </c>
      <c r="R260" s="15">
        <v>574</v>
      </c>
      <c r="S260" s="15" t="s">
        <v>395</v>
      </c>
      <c r="T260" s="15" t="str">
        <f>HYPERLINK("http://dx.doi.org/10.1007/s12273-024-1106-9","http://dx.doi.org/10.1007/s12273-024-1106-9")</f>
        <v>http://dx.doi.org/10.1007/s12273-024-1106-9</v>
      </c>
      <c r="U260" s="15" t="s">
        <v>359</v>
      </c>
      <c r="V260" s="15" t="s">
        <v>396</v>
      </c>
    </row>
    <row r="261" spans="1:22" x14ac:dyDescent="0.4">
      <c r="A261" s="15" t="s">
        <v>540</v>
      </c>
      <c r="B261" s="15" t="s">
        <v>541</v>
      </c>
      <c r="C261" s="15" t="s">
        <v>542</v>
      </c>
      <c r="D261" s="15" t="s">
        <v>12</v>
      </c>
      <c r="E261" s="15" t="s">
        <v>262</v>
      </c>
      <c r="F261" s="15" t="s">
        <v>543</v>
      </c>
      <c r="G261" s="15" t="s">
        <v>544</v>
      </c>
      <c r="H261" s="15" t="s">
        <v>545</v>
      </c>
      <c r="I261" s="15" t="s">
        <v>546</v>
      </c>
      <c r="J261" s="15" t="s">
        <v>547</v>
      </c>
      <c r="K261" s="15" t="s">
        <v>548</v>
      </c>
      <c r="L261" s="15" t="s">
        <v>549</v>
      </c>
      <c r="M261" s="15" t="s">
        <v>21</v>
      </c>
      <c r="N261" s="15">
        <v>2024</v>
      </c>
      <c r="O261" s="15">
        <v>17</v>
      </c>
      <c r="P261" s="15">
        <v>5</v>
      </c>
      <c r="Q261" s="15">
        <v>799</v>
      </c>
      <c r="R261" s="15">
        <v>818</v>
      </c>
      <c r="S261" s="15" t="s">
        <v>550</v>
      </c>
      <c r="T261" s="15" t="str">
        <f>HYPERLINK("http://dx.doi.org/10.1007/s12273-023-1099-9","http://dx.doi.org/10.1007/s12273-023-1099-9")</f>
        <v>http://dx.doi.org/10.1007/s12273-023-1099-9</v>
      </c>
      <c r="U261" s="15" t="s">
        <v>359</v>
      </c>
      <c r="V261" s="15" t="s">
        <v>551</v>
      </c>
    </row>
    <row r="262" spans="1:22" x14ac:dyDescent="0.4">
      <c r="A262" s="15" t="s">
        <v>529</v>
      </c>
      <c r="B262" s="15" t="s">
        <v>530</v>
      </c>
      <c r="C262" s="15" t="s">
        <v>531</v>
      </c>
      <c r="D262" s="15" t="s">
        <v>12</v>
      </c>
      <c r="E262" s="15" t="s">
        <v>262</v>
      </c>
      <c r="F262" s="15" t="s">
        <v>532</v>
      </c>
      <c r="G262" s="15" t="s">
        <v>533</v>
      </c>
      <c r="H262" s="15" t="s">
        <v>534</v>
      </c>
      <c r="I262" s="15" t="s">
        <v>535</v>
      </c>
      <c r="J262" s="15" t="s">
        <v>301</v>
      </c>
      <c r="K262" s="15" t="s">
        <v>536</v>
      </c>
      <c r="L262" s="15" t="s">
        <v>537</v>
      </c>
      <c r="M262" s="15" t="s">
        <v>21</v>
      </c>
      <c r="N262" s="15">
        <v>2024</v>
      </c>
      <c r="O262" s="15">
        <v>17</v>
      </c>
      <c r="P262" s="15">
        <v>5</v>
      </c>
      <c r="Q262" s="15">
        <v>785</v>
      </c>
      <c r="R262" s="15">
        <v>798</v>
      </c>
      <c r="S262" s="15" t="s">
        <v>538</v>
      </c>
      <c r="T262" s="15" t="str">
        <f>HYPERLINK("http://dx.doi.org/10.1007/s12273-024-1105-x","http://dx.doi.org/10.1007/s12273-024-1105-x")</f>
        <v>http://dx.doi.org/10.1007/s12273-024-1105-x</v>
      </c>
      <c r="U262" s="15" t="s">
        <v>359</v>
      </c>
      <c r="V262" s="15" t="s">
        <v>539</v>
      </c>
    </row>
    <row r="263" spans="1:22" x14ac:dyDescent="0.4">
      <c r="A263" s="15" t="s">
        <v>361</v>
      </c>
      <c r="B263" s="15" t="s">
        <v>362</v>
      </c>
      <c r="C263" s="15" t="s">
        <v>363</v>
      </c>
      <c r="D263" s="15" t="s">
        <v>12</v>
      </c>
      <c r="E263" s="15" t="s">
        <v>262</v>
      </c>
      <c r="F263" s="15" t="s">
        <v>364</v>
      </c>
      <c r="G263" s="15" t="s">
        <v>365</v>
      </c>
      <c r="H263" s="15" t="s">
        <v>366</v>
      </c>
      <c r="I263" s="15" t="s">
        <v>367</v>
      </c>
      <c r="J263" s="15" t="s">
        <v>368</v>
      </c>
      <c r="K263" s="15" t="s">
        <v>369</v>
      </c>
      <c r="L263" s="15" t="s">
        <v>370</v>
      </c>
      <c r="M263" s="15" t="s">
        <v>23</v>
      </c>
      <c r="N263" s="15">
        <v>2024</v>
      </c>
      <c r="O263" s="15">
        <v>17</v>
      </c>
      <c r="P263" s="15">
        <v>4</v>
      </c>
      <c r="Q263" s="15">
        <v>525</v>
      </c>
      <c r="R263" s="15">
        <v>542</v>
      </c>
      <c r="S263" s="15" t="s">
        <v>371</v>
      </c>
      <c r="T263" s="15" t="str">
        <f>HYPERLINK("http://dx.doi.org/10.1007/s12273-023-1096-z","http://dx.doi.org/10.1007/s12273-023-1096-z")</f>
        <v>http://dx.doi.org/10.1007/s12273-023-1096-z</v>
      </c>
      <c r="U263" s="15" t="s">
        <v>333</v>
      </c>
      <c r="V263" s="15" t="s">
        <v>372</v>
      </c>
    </row>
    <row r="264" spans="1:22" x14ac:dyDescent="0.4">
      <c r="A264" s="15" t="s">
        <v>397</v>
      </c>
      <c r="B264" s="15" t="s">
        <v>398</v>
      </c>
      <c r="C264" s="15" t="s">
        <v>399</v>
      </c>
      <c r="D264" s="15" t="s">
        <v>12</v>
      </c>
      <c r="E264" s="15" t="s">
        <v>262</v>
      </c>
      <c r="F264" s="15" t="s">
        <v>400</v>
      </c>
      <c r="G264" s="15" t="s">
        <v>401</v>
      </c>
      <c r="H264" s="15" t="s">
        <v>402</v>
      </c>
      <c r="I264" s="15" t="s">
        <v>403</v>
      </c>
      <c r="J264" s="15" t="s">
        <v>404</v>
      </c>
      <c r="K264" s="15" t="s">
        <v>405</v>
      </c>
      <c r="L264" s="15" t="s">
        <v>406</v>
      </c>
      <c r="M264" s="15" t="s">
        <v>23</v>
      </c>
      <c r="N264" s="15">
        <v>2024</v>
      </c>
      <c r="O264" s="15">
        <v>17</v>
      </c>
      <c r="P264" s="15">
        <v>4</v>
      </c>
      <c r="Q264" s="15">
        <v>575</v>
      </c>
      <c r="R264" s="15">
        <v>589</v>
      </c>
      <c r="S264" s="15" t="s">
        <v>407</v>
      </c>
      <c r="T264" s="15" t="str">
        <f>HYPERLINK("http://dx.doi.org/10.1007/s12273-023-1092-3","http://dx.doi.org/10.1007/s12273-023-1092-3")</f>
        <v>http://dx.doi.org/10.1007/s12273-023-1092-3</v>
      </c>
      <c r="U264" s="15" t="s">
        <v>333</v>
      </c>
      <c r="V264" s="15" t="s">
        <v>408</v>
      </c>
    </row>
    <row r="265" spans="1:22" x14ac:dyDescent="0.4">
      <c r="A265" s="15" t="s">
        <v>444</v>
      </c>
      <c r="B265" s="15" t="s">
        <v>445</v>
      </c>
      <c r="C265" s="15" t="s">
        <v>446</v>
      </c>
      <c r="D265" s="15" t="s">
        <v>12</v>
      </c>
      <c r="E265" s="15" t="s">
        <v>262</v>
      </c>
      <c r="F265" s="15" t="s">
        <v>447</v>
      </c>
      <c r="G265" s="15" t="s">
        <v>448</v>
      </c>
      <c r="H265" s="15" t="s">
        <v>449</v>
      </c>
      <c r="I265" s="15" t="s">
        <v>450</v>
      </c>
      <c r="J265" s="15" t="s">
        <v>451</v>
      </c>
      <c r="K265" s="15" t="s">
        <v>452</v>
      </c>
      <c r="L265" s="15" t="s">
        <v>453</v>
      </c>
      <c r="M265" s="15" t="s">
        <v>23</v>
      </c>
      <c r="N265" s="15">
        <v>2024</v>
      </c>
      <c r="O265" s="15">
        <v>17</v>
      </c>
      <c r="P265" s="15">
        <v>4</v>
      </c>
      <c r="Q265" s="15">
        <v>639</v>
      </c>
      <c r="R265" s="15">
        <v>655</v>
      </c>
      <c r="S265" s="15" t="s">
        <v>454</v>
      </c>
      <c r="T265" s="15" t="str">
        <f>HYPERLINK("http://dx.doi.org/10.1007/s12273-023-1093-2","http://dx.doi.org/10.1007/s12273-023-1093-2")</f>
        <v>http://dx.doi.org/10.1007/s12273-023-1093-2</v>
      </c>
      <c r="U265" s="15" t="s">
        <v>333</v>
      </c>
      <c r="V265" s="15" t="s">
        <v>455</v>
      </c>
    </row>
    <row r="266" spans="1:22" x14ac:dyDescent="0.4">
      <c r="A266" s="15" t="s">
        <v>322</v>
      </c>
      <c r="B266" s="15" t="s">
        <v>323</v>
      </c>
      <c r="C266" s="15" t="s">
        <v>324</v>
      </c>
      <c r="D266" s="15" t="s">
        <v>12</v>
      </c>
      <c r="E266" s="15" t="s">
        <v>262</v>
      </c>
      <c r="F266" s="15" t="s">
        <v>325</v>
      </c>
      <c r="G266" s="15" t="s">
        <v>326</v>
      </c>
      <c r="H266" s="15" t="s">
        <v>327</v>
      </c>
      <c r="I266" s="15" t="s">
        <v>328</v>
      </c>
      <c r="J266" s="15" t="s">
        <v>329</v>
      </c>
      <c r="K266" s="15" t="s">
        <v>330</v>
      </c>
      <c r="L266" s="15" t="s">
        <v>331</v>
      </c>
      <c r="M266" s="15" t="s">
        <v>25</v>
      </c>
      <c r="N266" s="15">
        <v>2024</v>
      </c>
      <c r="O266" s="15">
        <v>17</v>
      </c>
      <c r="P266" s="15">
        <v>3</v>
      </c>
      <c r="Q266" s="15">
        <v>355</v>
      </c>
      <c r="R266" s="15">
        <v>370</v>
      </c>
      <c r="S266" s="15" t="s">
        <v>332</v>
      </c>
      <c r="T266" s="15" t="str">
        <f>HYPERLINK("http://dx.doi.org/10.1007/s12273-023-1097-y","http://dx.doi.org/10.1007/s12273-023-1097-y")</f>
        <v>http://dx.doi.org/10.1007/s12273-023-1097-y</v>
      </c>
      <c r="U266" s="15" t="s">
        <v>333</v>
      </c>
      <c r="V266" s="15" t="s">
        <v>334</v>
      </c>
    </row>
    <row r="267" spans="1:22" x14ac:dyDescent="0.4">
      <c r="A267" s="15" t="s">
        <v>517</v>
      </c>
      <c r="B267" s="15" t="s">
        <v>518</v>
      </c>
      <c r="C267" s="15" t="s">
        <v>519</v>
      </c>
      <c r="D267" s="15" t="s">
        <v>12</v>
      </c>
      <c r="E267" s="15" t="s">
        <v>262</v>
      </c>
      <c r="F267" s="15" t="s">
        <v>520</v>
      </c>
      <c r="G267" s="15" t="s">
        <v>521</v>
      </c>
      <c r="H267" s="15" t="s">
        <v>522</v>
      </c>
      <c r="I267" s="15" t="s">
        <v>523</v>
      </c>
      <c r="J267" s="15" t="s">
        <v>524</v>
      </c>
      <c r="K267" s="15" t="s">
        <v>525</v>
      </c>
      <c r="L267" s="15" t="s">
        <v>526</v>
      </c>
      <c r="M267" s="15" t="s">
        <v>21</v>
      </c>
      <c r="N267" s="15">
        <v>2024</v>
      </c>
      <c r="O267" s="15">
        <v>17</v>
      </c>
      <c r="P267" s="15">
        <v>5</v>
      </c>
      <c r="Q267" s="15">
        <v>771</v>
      </c>
      <c r="R267" s="15">
        <v>784</v>
      </c>
      <c r="S267" s="15" t="s">
        <v>527</v>
      </c>
      <c r="T267" s="15" t="str">
        <f>HYPERLINK("http://dx.doi.org/10.1007/s12273-024-1102-0","http://dx.doi.org/10.1007/s12273-024-1102-0")</f>
        <v>http://dx.doi.org/10.1007/s12273-024-1102-0</v>
      </c>
      <c r="U267" s="15" t="s">
        <v>333</v>
      </c>
      <c r="V267" s="15" t="s">
        <v>528</v>
      </c>
    </row>
    <row r="268" spans="1:22" x14ac:dyDescent="0.4">
      <c r="A268" s="15" t="s">
        <v>420</v>
      </c>
      <c r="B268" s="15" t="s">
        <v>421</v>
      </c>
      <c r="C268" s="15" t="s">
        <v>422</v>
      </c>
      <c r="D268" s="15" t="s">
        <v>12</v>
      </c>
      <c r="E268" s="15" t="s">
        <v>262</v>
      </c>
      <c r="F268" s="15" t="s">
        <v>423</v>
      </c>
      <c r="G268" s="15" t="s">
        <v>424</v>
      </c>
      <c r="H268" s="15" t="s">
        <v>425</v>
      </c>
      <c r="I268" s="15" t="s">
        <v>426</v>
      </c>
      <c r="J268" s="15" t="s">
        <v>427</v>
      </c>
      <c r="K268" s="15" t="s">
        <v>428</v>
      </c>
      <c r="L268" s="15" t="s">
        <v>429</v>
      </c>
      <c r="M268" s="15" t="s">
        <v>23</v>
      </c>
      <c r="N268" s="15">
        <v>2024</v>
      </c>
      <c r="O268" s="15">
        <v>17</v>
      </c>
      <c r="P268" s="15">
        <v>4</v>
      </c>
      <c r="Q268" s="15">
        <v>607</v>
      </c>
      <c r="R268" s="15">
        <v>624</v>
      </c>
      <c r="S268" s="15" t="s">
        <v>430</v>
      </c>
      <c r="T268" s="15" t="str">
        <f>HYPERLINK("http://dx.doi.org/10.1007/s12273-024-1104-y","http://dx.doi.org/10.1007/s12273-024-1104-y")</f>
        <v>http://dx.doi.org/10.1007/s12273-024-1104-y</v>
      </c>
      <c r="U268" s="15" t="s">
        <v>333</v>
      </c>
      <c r="V268" s="15" t="s">
        <v>431</v>
      </c>
    </row>
    <row r="269" spans="1:22" x14ac:dyDescent="0.4">
      <c r="A269" s="15" t="s">
        <v>432</v>
      </c>
      <c r="B269" s="15" t="s">
        <v>433</v>
      </c>
      <c r="C269" s="15" t="s">
        <v>434</v>
      </c>
      <c r="D269" s="15" t="s">
        <v>12</v>
      </c>
      <c r="E269" s="15" t="s">
        <v>262</v>
      </c>
      <c r="F269" s="15" t="s">
        <v>435</v>
      </c>
      <c r="G269" s="15" t="s">
        <v>436</v>
      </c>
      <c r="H269" s="15" t="s">
        <v>437</v>
      </c>
      <c r="I269" s="15" t="s">
        <v>438</v>
      </c>
      <c r="J269" s="15" t="s">
        <v>439</v>
      </c>
      <c r="K269" s="15" t="s">
        <v>440</v>
      </c>
      <c r="L269" s="15" t="s">
        <v>441</v>
      </c>
      <c r="M269" s="15" t="s">
        <v>23</v>
      </c>
      <c r="N269" s="15">
        <v>2024</v>
      </c>
      <c r="O269" s="15">
        <v>17</v>
      </c>
      <c r="P269" s="15">
        <v>4</v>
      </c>
      <c r="Q269" s="15">
        <v>625</v>
      </c>
      <c r="R269" s="15">
        <v>638</v>
      </c>
      <c r="S269" s="15" t="s">
        <v>442</v>
      </c>
      <c r="T269" s="15" t="str">
        <f>HYPERLINK("http://dx.doi.org/10.1007/s12273-023-1087-0","http://dx.doi.org/10.1007/s12273-023-1087-0")</f>
        <v>http://dx.doi.org/10.1007/s12273-023-1087-0</v>
      </c>
      <c r="U269" s="15" t="s">
        <v>333</v>
      </c>
      <c r="V269" s="15" t="s">
        <v>443</v>
      </c>
    </row>
    <row r="270" spans="1:22" x14ac:dyDescent="0.4">
      <c r="A270" s="15" t="s">
        <v>335</v>
      </c>
      <c r="B270" s="15" t="s">
        <v>336</v>
      </c>
      <c r="C270" s="15" t="s">
        <v>337</v>
      </c>
      <c r="D270" s="15" t="s">
        <v>12</v>
      </c>
      <c r="E270" s="15" t="s">
        <v>262</v>
      </c>
      <c r="F270" s="15" t="s">
        <v>338</v>
      </c>
      <c r="G270" s="15" t="s">
        <v>11</v>
      </c>
      <c r="H270" s="15" t="s">
        <v>339</v>
      </c>
      <c r="I270" s="15" t="s">
        <v>340</v>
      </c>
      <c r="J270" s="15" t="s">
        <v>341</v>
      </c>
      <c r="K270" s="15" t="s">
        <v>342</v>
      </c>
      <c r="L270" s="15" t="s">
        <v>343</v>
      </c>
      <c r="M270" s="15" t="s">
        <v>25</v>
      </c>
      <c r="N270" s="15">
        <v>2024</v>
      </c>
      <c r="O270" s="15">
        <v>17</v>
      </c>
      <c r="P270" s="15">
        <v>3</v>
      </c>
      <c r="Q270" s="15">
        <v>371</v>
      </c>
      <c r="R270" s="15">
        <v>386</v>
      </c>
      <c r="S270" s="15" t="s">
        <v>344</v>
      </c>
      <c r="T270" s="15" t="str">
        <f>HYPERLINK("http://dx.doi.org/10.1007/s12273-023-1086-1","http://dx.doi.org/10.1007/s12273-023-1086-1")</f>
        <v>http://dx.doi.org/10.1007/s12273-023-1086-1</v>
      </c>
      <c r="U270" s="15" t="s">
        <v>333</v>
      </c>
      <c r="V270" s="15" t="s">
        <v>345</v>
      </c>
    </row>
    <row r="271" spans="1:22" x14ac:dyDescent="0.4">
      <c r="A271" s="15" t="s">
        <v>1063</v>
      </c>
      <c r="B271" s="15" t="s">
        <v>1064</v>
      </c>
      <c r="C271" s="15" t="s">
        <v>1065</v>
      </c>
      <c r="D271" s="15" t="s">
        <v>12</v>
      </c>
      <c r="E271" s="15" t="s">
        <v>268</v>
      </c>
      <c r="F271" s="15" t="s">
        <v>1067</v>
      </c>
      <c r="G271" s="15" t="s">
        <v>11</v>
      </c>
      <c r="H271" s="15" t="s">
        <v>1068</v>
      </c>
      <c r="I271" s="15" t="s">
        <v>3513</v>
      </c>
      <c r="J271" s="15" t="s">
        <v>1070</v>
      </c>
      <c r="K271" s="15" t="s">
        <v>3514</v>
      </c>
      <c r="L271" s="15" t="s">
        <v>1072</v>
      </c>
      <c r="M271" s="15" t="s">
        <v>15</v>
      </c>
      <c r="N271" s="15">
        <v>2024</v>
      </c>
      <c r="O271" s="15">
        <v>17</v>
      </c>
      <c r="P271" s="15">
        <v>10</v>
      </c>
      <c r="Q271" s="15">
        <v>1653</v>
      </c>
      <c r="R271" s="15">
        <v>1657</v>
      </c>
      <c r="S271" s="15" t="s">
        <v>1074</v>
      </c>
      <c r="T271" s="15" t="str">
        <f>HYPERLINK("http://dx.doi.org/10.1007/s12273-024-1193-7","http://dx.doi.org/10.1007/s12273-024-1193-7")</f>
        <v>http://dx.doi.org/10.1007/s12273-024-1193-7</v>
      </c>
      <c r="U271" s="15" t="s">
        <v>1075</v>
      </c>
      <c r="V271" s="15" t="s">
        <v>1076</v>
      </c>
    </row>
    <row r="272" spans="1:22" x14ac:dyDescent="0.4">
      <c r="A272" s="15" t="s">
        <v>693</v>
      </c>
      <c r="B272" s="15" t="s">
        <v>694</v>
      </c>
      <c r="C272" s="15" t="s">
        <v>695</v>
      </c>
      <c r="D272" s="15" t="s">
        <v>12</v>
      </c>
      <c r="E272" s="15" t="s">
        <v>268</v>
      </c>
      <c r="F272" s="15" t="s">
        <v>11</v>
      </c>
      <c r="G272" s="15" t="s">
        <v>11</v>
      </c>
      <c r="H272" s="15" t="s">
        <v>11</v>
      </c>
      <c r="I272" s="15" t="s">
        <v>696</v>
      </c>
      <c r="J272" s="15" t="s">
        <v>697</v>
      </c>
      <c r="K272" s="15" t="s">
        <v>698</v>
      </c>
      <c r="L272" s="15" t="s">
        <v>699</v>
      </c>
      <c r="M272" s="15" t="s">
        <v>20</v>
      </c>
      <c r="N272" s="15">
        <v>2024</v>
      </c>
      <c r="O272" s="15">
        <v>17</v>
      </c>
      <c r="P272" s="15">
        <v>7</v>
      </c>
      <c r="Q272" s="15">
        <v>1037</v>
      </c>
      <c r="R272" s="15">
        <v>1041</v>
      </c>
      <c r="S272" s="15" t="s">
        <v>700</v>
      </c>
      <c r="T272" s="15" t="str">
        <f>HYPERLINK("http://dx.doi.org/10.1007/s12273-024-1146-1","http://dx.doi.org/10.1007/s12273-024-1146-1")</f>
        <v>http://dx.doi.org/10.1007/s12273-024-1146-1</v>
      </c>
      <c r="U272" s="15" t="s">
        <v>701</v>
      </c>
      <c r="V272" s="15" t="s">
        <v>702</v>
      </c>
    </row>
    <row r="273" spans="1:22" x14ac:dyDescent="0.4">
      <c r="A273" s="15" t="s">
        <v>310</v>
      </c>
      <c r="B273" s="15" t="s">
        <v>311</v>
      </c>
      <c r="C273" s="15" t="s">
        <v>312</v>
      </c>
      <c r="D273" s="15" t="s">
        <v>12</v>
      </c>
      <c r="E273" s="15" t="s">
        <v>268</v>
      </c>
      <c r="F273" s="15" t="s">
        <v>11</v>
      </c>
      <c r="G273" s="15" t="s">
        <v>11</v>
      </c>
      <c r="H273" s="15" t="s">
        <v>11</v>
      </c>
      <c r="I273" s="15" t="s">
        <v>313</v>
      </c>
      <c r="J273" s="15" t="s">
        <v>264</v>
      </c>
      <c r="K273" s="15" t="s">
        <v>314</v>
      </c>
      <c r="L273" s="15" t="s">
        <v>265</v>
      </c>
      <c r="M273" s="15" t="s">
        <v>26</v>
      </c>
      <c r="N273" s="15">
        <v>2024</v>
      </c>
      <c r="O273" s="15">
        <v>17</v>
      </c>
      <c r="P273" s="15">
        <v>2</v>
      </c>
      <c r="Q273" s="15">
        <v>185</v>
      </c>
      <c r="R273" s="15">
        <v>188</v>
      </c>
      <c r="S273" s="15" t="s">
        <v>315</v>
      </c>
      <c r="T273" s="15" t="str">
        <f>HYPERLINK("http://dx.doi.org/10.1007/s12273-024-1107-8","http://dx.doi.org/10.1007/s12273-024-1107-8")</f>
        <v>http://dx.doi.org/10.1007/s12273-024-1107-8</v>
      </c>
      <c r="U273" s="15" t="s">
        <v>11</v>
      </c>
      <c r="V273" s="15" t="s">
        <v>316</v>
      </c>
    </row>
    <row r="274" spans="1:22" x14ac:dyDescent="0.4">
      <c r="A274" s="15" t="s">
        <v>1228</v>
      </c>
      <c r="B274" s="15" t="s">
        <v>1229</v>
      </c>
      <c r="C274" s="15" t="s">
        <v>1230</v>
      </c>
      <c r="D274" s="15" t="s">
        <v>12</v>
      </c>
      <c r="E274" s="15" t="s">
        <v>273</v>
      </c>
      <c r="F274" s="15" t="s">
        <v>1231</v>
      </c>
      <c r="G274" s="15" t="s">
        <v>1232</v>
      </c>
      <c r="H274" s="15" t="s">
        <v>1233</v>
      </c>
      <c r="I274" s="15" t="s">
        <v>1234</v>
      </c>
      <c r="J274" s="15" t="s">
        <v>287</v>
      </c>
      <c r="K274" s="15" t="s">
        <v>288</v>
      </c>
      <c r="L274" s="15" t="s">
        <v>289</v>
      </c>
      <c r="M274" s="15" t="s">
        <v>14</v>
      </c>
      <c r="N274" s="15">
        <v>2024</v>
      </c>
      <c r="O274" s="15">
        <v>17</v>
      </c>
      <c r="P274" s="15">
        <v>11</v>
      </c>
      <c r="Q274" s="15">
        <v>1909</v>
      </c>
      <c r="R274" s="15">
        <v>1932</v>
      </c>
      <c r="S274" s="15" t="s">
        <v>1235</v>
      </c>
      <c r="T274" s="15" t="str">
        <f>HYPERLINK("http://dx.doi.org/10.1007/s12273-024-1209-3","http://dx.doi.org/10.1007/s12273-024-1209-3")</f>
        <v>http://dx.doi.org/10.1007/s12273-024-1209-3</v>
      </c>
      <c r="U274" s="15" t="s">
        <v>1236</v>
      </c>
      <c r="V274" s="15" t="s">
        <v>1237</v>
      </c>
    </row>
    <row r="275" spans="1:22" x14ac:dyDescent="0.4">
      <c r="A275" s="15" t="s">
        <v>1089</v>
      </c>
      <c r="B275" s="15" t="s">
        <v>1090</v>
      </c>
      <c r="C275" s="15" t="s">
        <v>1091</v>
      </c>
      <c r="D275" s="15" t="s">
        <v>12</v>
      </c>
      <c r="E275" s="15" t="s">
        <v>273</v>
      </c>
      <c r="F275" s="15" t="s">
        <v>1093</v>
      </c>
      <c r="G275" s="15" t="s">
        <v>3570</v>
      </c>
      <c r="H275" s="15" t="s">
        <v>1095</v>
      </c>
      <c r="I275" s="15" t="s">
        <v>3571</v>
      </c>
      <c r="J275" s="15" t="s">
        <v>269</v>
      </c>
      <c r="K275" s="15" t="s">
        <v>3572</v>
      </c>
      <c r="L275" s="15" t="s">
        <v>290</v>
      </c>
      <c r="M275" s="15" t="s">
        <v>15</v>
      </c>
      <c r="N275" s="15">
        <v>2024</v>
      </c>
      <c r="O275" s="15">
        <v>17</v>
      </c>
      <c r="P275" s="15">
        <v>10</v>
      </c>
      <c r="Q275" s="15">
        <v>1675</v>
      </c>
      <c r="R275" s="15">
        <v>1692</v>
      </c>
      <c r="S275" s="15" t="s">
        <v>1097</v>
      </c>
      <c r="T275" s="15" t="str">
        <f>HYPERLINK("http://dx.doi.org/10.1007/s12273-024-1170-1","http://dx.doi.org/10.1007/s12273-024-1170-1")</f>
        <v>http://dx.doi.org/10.1007/s12273-024-1170-1</v>
      </c>
      <c r="U275" s="15" t="s">
        <v>878</v>
      </c>
      <c r="V275" s="15" t="s">
        <v>1098</v>
      </c>
    </row>
    <row r="276" spans="1:22" x14ac:dyDescent="0.4">
      <c r="A276" s="15" t="s">
        <v>480</v>
      </c>
      <c r="B276" s="15" t="s">
        <v>481</v>
      </c>
      <c r="C276" s="15" t="s">
        <v>482</v>
      </c>
      <c r="D276" s="15" t="s">
        <v>12</v>
      </c>
      <c r="E276" s="15" t="s">
        <v>273</v>
      </c>
      <c r="F276" s="15" t="s">
        <v>483</v>
      </c>
      <c r="G276" s="15" t="s">
        <v>484</v>
      </c>
      <c r="H276" s="15" t="s">
        <v>485</v>
      </c>
      <c r="I276" s="15" t="s">
        <v>486</v>
      </c>
      <c r="J276" s="15" t="s">
        <v>487</v>
      </c>
      <c r="K276" s="15" t="s">
        <v>488</v>
      </c>
      <c r="L276" s="15" t="s">
        <v>489</v>
      </c>
      <c r="M276" s="15" t="s">
        <v>21</v>
      </c>
      <c r="N276" s="15">
        <v>2024</v>
      </c>
      <c r="O276" s="15">
        <v>17</v>
      </c>
      <c r="P276" s="15">
        <v>5</v>
      </c>
      <c r="Q276" s="15">
        <v>695</v>
      </c>
      <c r="R276" s="15">
        <v>722</v>
      </c>
      <c r="S276" s="15" t="s">
        <v>490</v>
      </c>
      <c r="T276" s="15" t="str">
        <f>HYPERLINK("http://dx.doi.org/10.1007/s12273-024-1112-y","http://dx.doi.org/10.1007/s12273-024-1112-y")</f>
        <v>http://dx.doi.org/10.1007/s12273-024-1112-y</v>
      </c>
      <c r="U276" s="15" t="s">
        <v>491</v>
      </c>
      <c r="V276" s="15" t="s">
        <v>492</v>
      </c>
    </row>
  </sheetData>
  <sortState ref="A2:V276">
    <sortCondition descending="1" ref="N1:N276"/>
  </sortState>
  <phoneticPr fontId="2" type="noConversion"/>
  <conditionalFormatting sqref="S1:S65536">
    <cfRule type="duplicateValues" dxfId="510" priority="1" stopIfTrue="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1"/>
  <sheetViews>
    <sheetView tabSelected="1" workbookViewId="0">
      <selection activeCell="C2" sqref="C2"/>
    </sheetView>
  </sheetViews>
  <sheetFormatPr defaultRowHeight="12.7" x14ac:dyDescent="0.4"/>
  <cols>
    <col min="1" max="1" width="21.5859375" style="6" bestFit="1" customWidth="1"/>
    <col min="2" max="2" width="38.5859375" style="6" bestFit="1" customWidth="1"/>
    <col min="3" max="3" width="23.5859375" style="6" bestFit="1" customWidth="1"/>
    <col min="4" max="4" width="62.5859375" style="6" bestFit="1" customWidth="1"/>
  </cols>
  <sheetData>
    <row r="1" spans="1:7" x14ac:dyDescent="0.4">
      <c r="A1" s="18" t="s">
        <v>28</v>
      </c>
      <c r="B1" s="18"/>
      <c r="C1" s="19" t="s">
        <v>29</v>
      </c>
      <c r="D1" s="19"/>
    </row>
    <row r="2" spans="1:7" ht="13.7" x14ac:dyDescent="0.5">
      <c r="A2" s="20" t="s">
        <v>30</v>
      </c>
      <c r="B2" s="21" t="s">
        <v>160</v>
      </c>
      <c r="C2" s="4" t="s">
        <v>215</v>
      </c>
      <c r="D2" s="4" t="s">
        <v>216</v>
      </c>
      <c r="E2" s="5"/>
      <c r="F2" s="4"/>
      <c r="G2" s="5"/>
    </row>
    <row r="3" spans="1:7" ht="13.7" x14ac:dyDescent="0.5">
      <c r="A3" s="20"/>
      <c r="B3" s="21"/>
      <c r="C3" s="4" t="s">
        <v>33</v>
      </c>
      <c r="D3" s="4" t="s">
        <v>217</v>
      </c>
      <c r="F3" s="5"/>
      <c r="G3" s="5"/>
    </row>
    <row r="4" spans="1:7" ht="13.7" x14ac:dyDescent="0.5">
      <c r="A4" s="20"/>
      <c r="B4" s="21"/>
      <c r="C4" s="4" t="s">
        <v>35</v>
      </c>
      <c r="D4" s="4" t="s">
        <v>36</v>
      </c>
      <c r="F4" s="4"/>
      <c r="G4" s="5"/>
    </row>
    <row r="5" spans="1:7" ht="13.7" x14ac:dyDescent="0.5">
      <c r="A5" s="20"/>
      <c r="B5" s="21"/>
      <c r="C5" s="4" t="s">
        <v>37</v>
      </c>
      <c r="D5" s="4" t="s">
        <v>218</v>
      </c>
      <c r="F5" s="2"/>
      <c r="G5" s="6"/>
    </row>
    <row r="6" spans="1:7" ht="13.7" x14ac:dyDescent="0.5">
      <c r="A6" s="20"/>
      <c r="B6" s="21"/>
      <c r="C6" s="4" t="s">
        <v>39</v>
      </c>
      <c r="D6" s="4" t="s">
        <v>40</v>
      </c>
      <c r="F6" s="4"/>
      <c r="G6" s="5"/>
    </row>
    <row r="7" spans="1:7" ht="13.7" x14ac:dyDescent="0.5">
      <c r="A7" s="20"/>
      <c r="B7" s="21"/>
      <c r="C7" s="4" t="s">
        <v>202</v>
      </c>
      <c r="D7" s="4" t="s">
        <v>42</v>
      </c>
      <c r="F7" s="4"/>
      <c r="G7" s="5"/>
    </row>
    <row r="8" spans="1:7" ht="13.7" x14ac:dyDescent="0.5">
      <c r="A8" s="20"/>
      <c r="B8" s="21"/>
      <c r="C8" s="4" t="s">
        <v>43</v>
      </c>
      <c r="D8" s="4" t="s">
        <v>44</v>
      </c>
      <c r="F8" s="5"/>
      <c r="G8" s="5"/>
    </row>
    <row r="9" spans="1:7" ht="13.7" x14ac:dyDescent="0.5">
      <c r="A9" s="20"/>
      <c r="B9" s="21"/>
      <c r="C9" s="4" t="s">
        <v>177</v>
      </c>
      <c r="D9" s="4" t="s">
        <v>203</v>
      </c>
      <c r="F9" s="4"/>
      <c r="G9" s="5"/>
    </row>
    <row r="10" spans="1:7" ht="13.7" x14ac:dyDescent="0.5">
      <c r="A10" s="20"/>
      <c r="B10" s="21"/>
      <c r="C10" s="2" t="s">
        <v>3577</v>
      </c>
      <c r="D10" s="2" t="s">
        <v>3582</v>
      </c>
      <c r="F10" s="4"/>
      <c r="G10" s="5"/>
    </row>
    <row r="11" spans="1:7" ht="13.7" x14ac:dyDescent="0.5">
      <c r="A11" s="20"/>
      <c r="B11" s="21"/>
      <c r="C11" s="4" t="s">
        <v>45</v>
      </c>
      <c r="D11" s="4" t="s">
        <v>46</v>
      </c>
      <c r="F11" s="4"/>
      <c r="G11" s="5"/>
    </row>
    <row r="12" spans="1:7" ht="13.7" x14ac:dyDescent="0.5">
      <c r="A12" s="20"/>
      <c r="B12" s="21"/>
      <c r="C12" s="4" t="s">
        <v>47</v>
      </c>
      <c r="D12" s="4" t="s">
        <v>204</v>
      </c>
      <c r="E12" s="4"/>
      <c r="F12" s="10"/>
      <c r="G12" s="5"/>
    </row>
    <row r="13" spans="1:7" ht="13.7" x14ac:dyDescent="0.5">
      <c r="A13" s="20"/>
      <c r="B13" s="21"/>
      <c r="C13" s="4" t="s">
        <v>158</v>
      </c>
      <c r="D13" s="4" t="s">
        <v>189</v>
      </c>
      <c r="F13" s="4"/>
      <c r="G13" s="5"/>
    </row>
    <row r="14" spans="1:7" ht="13.7" x14ac:dyDescent="0.5">
      <c r="A14" s="20"/>
      <c r="B14" s="21"/>
      <c r="C14" s="4" t="s">
        <v>193</v>
      </c>
      <c r="D14" s="4" t="s">
        <v>194</v>
      </c>
      <c r="F14" s="5"/>
      <c r="G14" s="5"/>
    </row>
    <row r="15" spans="1:7" ht="13.7" x14ac:dyDescent="0.5">
      <c r="A15" s="20"/>
      <c r="B15" s="21"/>
      <c r="C15" s="4" t="s">
        <v>195</v>
      </c>
      <c r="D15" s="4" t="s">
        <v>196</v>
      </c>
      <c r="E15" s="4"/>
      <c r="F15" s="11"/>
    </row>
    <row r="16" spans="1:7" ht="13.7" x14ac:dyDescent="0.5">
      <c r="A16" s="22"/>
      <c r="B16" s="22"/>
      <c r="C16" s="4" t="s">
        <v>3592</v>
      </c>
      <c r="D16" s="4" t="s">
        <v>3591</v>
      </c>
      <c r="E16" s="4"/>
      <c r="F16" s="11"/>
    </row>
    <row r="17" spans="1:7" ht="13.7" x14ac:dyDescent="0.5">
      <c r="C17" s="4"/>
      <c r="D17" s="4"/>
    </row>
    <row r="18" spans="1:7" ht="13.7" x14ac:dyDescent="0.5">
      <c r="A18" s="20" t="s">
        <v>51</v>
      </c>
      <c r="B18" s="21" t="s">
        <v>165</v>
      </c>
      <c r="C18" s="4" t="s">
        <v>52</v>
      </c>
      <c r="D18" s="4" t="s">
        <v>205</v>
      </c>
      <c r="F18" s="4"/>
      <c r="G18" s="5"/>
    </row>
    <row r="19" spans="1:7" ht="13.7" x14ac:dyDescent="0.5">
      <c r="A19" s="20"/>
      <c r="B19" s="21"/>
      <c r="C19" s="4" t="s">
        <v>54</v>
      </c>
      <c r="D19" s="4" t="s">
        <v>206</v>
      </c>
      <c r="E19" s="5"/>
      <c r="F19" s="4"/>
      <c r="G19" s="5"/>
    </row>
    <row r="20" spans="1:7" ht="13.7" x14ac:dyDescent="0.5">
      <c r="A20" s="20"/>
      <c r="B20" s="21"/>
      <c r="C20" s="4" t="s">
        <v>56</v>
      </c>
      <c r="D20" s="4" t="s">
        <v>207</v>
      </c>
      <c r="F20" s="2"/>
      <c r="G20" s="6"/>
    </row>
    <row r="21" spans="1:7" ht="13.7" x14ac:dyDescent="0.5">
      <c r="A21" s="20"/>
      <c r="B21" s="21"/>
      <c r="C21" s="4" t="s">
        <v>58</v>
      </c>
      <c r="D21" s="4" t="s">
        <v>208</v>
      </c>
      <c r="F21" s="4"/>
      <c r="G21" s="5"/>
    </row>
    <row r="22" spans="1:7" ht="13.7" x14ac:dyDescent="0.5">
      <c r="A22" s="20"/>
      <c r="B22" s="21"/>
      <c r="C22" s="4" t="s">
        <v>209</v>
      </c>
      <c r="D22" s="4" t="s">
        <v>210</v>
      </c>
      <c r="F22" s="2"/>
      <c r="G22" s="6"/>
    </row>
    <row r="23" spans="1:7" ht="13.7" x14ac:dyDescent="0.5">
      <c r="A23" s="20"/>
      <c r="B23" s="21"/>
      <c r="C23" s="4" t="s">
        <v>62</v>
      </c>
      <c r="D23" s="4" t="s">
        <v>211</v>
      </c>
      <c r="F23" s="5"/>
      <c r="G23" s="5"/>
    </row>
    <row r="24" spans="1:7" ht="13.7" x14ac:dyDescent="0.5">
      <c r="A24" s="20"/>
      <c r="B24" s="21"/>
      <c r="C24" s="4" t="s">
        <v>63</v>
      </c>
      <c r="D24" s="4" t="s">
        <v>64</v>
      </c>
      <c r="E24" s="4"/>
      <c r="F24" s="4"/>
      <c r="G24" s="5"/>
    </row>
    <row r="25" spans="1:7" ht="13.7" x14ac:dyDescent="0.5">
      <c r="A25" s="20"/>
      <c r="B25" s="21"/>
      <c r="C25" s="4" t="s">
        <v>65</v>
      </c>
      <c r="D25" s="4" t="s">
        <v>212</v>
      </c>
      <c r="F25" s="2"/>
      <c r="G25" s="6"/>
    </row>
    <row r="26" spans="1:7" ht="13.7" x14ac:dyDescent="0.5">
      <c r="A26" s="20"/>
      <c r="B26" s="21"/>
      <c r="C26" s="4" t="s">
        <v>1768</v>
      </c>
      <c r="D26" s="2" t="s">
        <v>1780</v>
      </c>
      <c r="E26" s="4"/>
      <c r="F26" s="4"/>
      <c r="G26" s="5"/>
    </row>
    <row r="27" spans="1:7" ht="13.7" x14ac:dyDescent="0.5">
      <c r="A27" s="20"/>
      <c r="B27" s="21"/>
      <c r="C27" s="4"/>
      <c r="D27" s="2"/>
    </row>
    <row r="28" spans="1:7" ht="13.7" x14ac:dyDescent="0.4">
      <c r="A28" s="7"/>
      <c r="B28" s="8"/>
    </row>
    <row r="29" spans="1:7" ht="13.7" x14ac:dyDescent="0.5">
      <c r="A29" s="20" t="s">
        <v>66</v>
      </c>
      <c r="B29" s="21" t="s">
        <v>166</v>
      </c>
      <c r="C29" s="4" t="s">
        <v>67</v>
      </c>
      <c r="D29" s="4" t="s">
        <v>68</v>
      </c>
      <c r="E29" s="4"/>
    </row>
    <row r="30" spans="1:7" ht="13.7" x14ac:dyDescent="0.5">
      <c r="A30" s="20"/>
      <c r="B30" s="21"/>
      <c r="C30" s="4" t="s">
        <v>213</v>
      </c>
      <c r="D30" s="4" t="s">
        <v>214</v>
      </c>
      <c r="F30" s="4"/>
      <c r="G30" s="5"/>
    </row>
    <row r="31" spans="1:7" ht="13.7" x14ac:dyDescent="0.5">
      <c r="A31" s="20"/>
      <c r="B31" s="21"/>
      <c r="C31" s="4" t="s">
        <v>219</v>
      </c>
      <c r="D31" s="4" t="s">
        <v>220</v>
      </c>
      <c r="E31" s="10"/>
      <c r="F31" s="5"/>
      <c r="G31" s="5"/>
    </row>
    <row r="32" spans="1:7" ht="13.7" x14ac:dyDescent="0.5">
      <c r="A32" s="20"/>
      <c r="B32" s="21"/>
      <c r="C32" s="4" t="s">
        <v>221</v>
      </c>
      <c r="D32" s="4"/>
      <c r="F32" s="5"/>
      <c r="G32" s="5"/>
    </row>
    <row r="33" spans="1:7" ht="13.7" x14ac:dyDescent="0.5">
      <c r="A33" s="20"/>
      <c r="B33" s="21"/>
      <c r="C33" s="4" t="s">
        <v>1792</v>
      </c>
      <c r="D33" s="4" t="s">
        <v>1791</v>
      </c>
      <c r="E33" s="4"/>
      <c r="F33" s="5"/>
      <c r="G33" s="5"/>
    </row>
    <row r="34" spans="1:7" ht="13.7" x14ac:dyDescent="0.5">
      <c r="A34" s="20"/>
      <c r="B34" s="21"/>
      <c r="C34" s="4" t="s">
        <v>74</v>
      </c>
      <c r="D34" s="4" t="s">
        <v>222</v>
      </c>
      <c r="F34" s="4"/>
      <c r="G34" s="5"/>
    </row>
    <row r="35" spans="1:7" ht="13.7" x14ac:dyDescent="0.5">
      <c r="A35" s="20"/>
      <c r="B35" s="21"/>
      <c r="C35" s="4" t="s">
        <v>76</v>
      </c>
      <c r="D35" s="4" t="s">
        <v>77</v>
      </c>
      <c r="F35" s="4"/>
      <c r="G35" s="5"/>
    </row>
    <row r="36" spans="1:7" ht="13.7" x14ac:dyDescent="0.4">
      <c r="A36" s="7"/>
      <c r="B36" s="8"/>
      <c r="F36" s="11"/>
    </row>
    <row r="37" spans="1:7" ht="13.7" x14ac:dyDescent="0.5">
      <c r="A37" s="20" t="s">
        <v>78</v>
      </c>
      <c r="B37" s="21" t="s">
        <v>167</v>
      </c>
      <c r="C37" s="4" t="s">
        <v>79</v>
      </c>
      <c r="D37" s="4" t="s">
        <v>223</v>
      </c>
      <c r="F37" s="5"/>
    </row>
    <row r="38" spans="1:7" ht="13.7" x14ac:dyDescent="0.5">
      <c r="A38" s="20"/>
      <c r="B38" s="21"/>
      <c r="C38" s="4" t="s">
        <v>81</v>
      </c>
      <c r="D38" s="4" t="s">
        <v>224</v>
      </c>
      <c r="F38" s="5"/>
    </row>
    <row r="39" spans="1:7" ht="13.7" x14ac:dyDescent="0.5">
      <c r="A39" s="20"/>
      <c r="B39" s="21"/>
      <c r="C39" s="4" t="s">
        <v>83</v>
      </c>
      <c r="D39" s="4" t="s">
        <v>84</v>
      </c>
      <c r="E39" s="5"/>
      <c r="F39" s="5"/>
    </row>
    <row r="40" spans="1:7" ht="13.7" x14ac:dyDescent="0.5">
      <c r="A40" s="20"/>
      <c r="B40" s="21"/>
      <c r="C40" s="4" t="s">
        <v>85</v>
      </c>
      <c r="D40" s="4" t="s">
        <v>86</v>
      </c>
      <c r="F40" s="5"/>
    </row>
    <row r="41" spans="1:7" ht="13.7" x14ac:dyDescent="0.5">
      <c r="A41" s="20"/>
      <c r="B41" s="21"/>
      <c r="C41" s="4" t="s">
        <v>87</v>
      </c>
      <c r="D41" s="4" t="s">
        <v>88</v>
      </c>
      <c r="F41" s="5"/>
    </row>
    <row r="42" spans="1:7" ht="13.7" x14ac:dyDescent="0.5">
      <c r="A42" s="20"/>
      <c r="B42" s="21"/>
      <c r="C42" s="4" t="s">
        <v>89</v>
      </c>
      <c r="D42" s="4" t="s">
        <v>90</v>
      </c>
      <c r="E42" s="5"/>
      <c r="F42" s="5"/>
    </row>
    <row r="43" spans="1:7" ht="13.7" x14ac:dyDescent="0.5">
      <c r="A43" s="20"/>
      <c r="B43" s="21"/>
      <c r="C43" s="4" t="s">
        <v>91</v>
      </c>
      <c r="D43" s="4" t="s">
        <v>92</v>
      </c>
      <c r="E43" s="4"/>
      <c r="F43" s="5"/>
    </row>
    <row r="44" spans="1:7" ht="13.7" x14ac:dyDescent="0.5">
      <c r="A44" s="20"/>
      <c r="B44" s="21"/>
      <c r="C44" s="4" t="s">
        <v>93</v>
      </c>
      <c r="D44" s="4" t="s">
        <v>225</v>
      </c>
      <c r="E44" s="4"/>
      <c r="F44" s="5"/>
    </row>
    <row r="45" spans="1:7" ht="13.7" x14ac:dyDescent="0.5">
      <c r="A45" s="20"/>
      <c r="B45" s="21"/>
      <c r="C45" s="4" t="s">
        <v>95</v>
      </c>
      <c r="D45" s="4" t="s">
        <v>226</v>
      </c>
      <c r="E45" s="4"/>
      <c r="F45" s="5"/>
    </row>
    <row r="46" spans="1:7" ht="13.7" x14ac:dyDescent="0.5">
      <c r="A46" s="20"/>
      <c r="B46" s="21"/>
      <c r="C46" s="2" t="s">
        <v>1736</v>
      </c>
      <c r="D46" s="2" t="s">
        <v>3585</v>
      </c>
      <c r="E46" s="4"/>
      <c r="F46" s="5"/>
    </row>
    <row r="47" spans="1:7" ht="13.7" x14ac:dyDescent="0.5">
      <c r="A47" s="20"/>
      <c r="B47" s="21"/>
      <c r="C47" s="4" t="s">
        <v>98</v>
      </c>
      <c r="D47" s="4" t="s">
        <v>99</v>
      </c>
      <c r="E47" s="4"/>
      <c r="F47" s="5"/>
    </row>
    <row r="48" spans="1:7" ht="13.7" x14ac:dyDescent="0.5">
      <c r="A48" s="20"/>
      <c r="B48" s="21"/>
      <c r="C48" s="4" t="s">
        <v>1793</v>
      </c>
      <c r="D48" s="4" t="s">
        <v>1794</v>
      </c>
      <c r="E48" s="4"/>
      <c r="F48" s="5"/>
    </row>
    <row r="49" spans="1:6" ht="13.7" x14ac:dyDescent="0.5">
      <c r="A49" s="20"/>
      <c r="B49" s="21"/>
      <c r="E49" s="4"/>
      <c r="F49" s="5"/>
    </row>
    <row r="50" spans="1:6" ht="13.7" x14ac:dyDescent="0.5">
      <c r="A50" s="2"/>
      <c r="B50" s="3"/>
      <c r="E50" s="4"/>
      <c r="F50" s="5"/>
    </row>
    <row r="51" spans="1:6" ht="13.7" x14ac:dyDescent="0.5">
      <c r="A51" s="20" t="s">
        <v>100</v>
      </c>
      <c r="B51" s="21" t="s">
        <v>168</v>
      </c>
      <c r="C51" s="4" t="s">
        <v>101</v>
      </c>
      <c r="D51" s="4" t="s">
        <v>227</v>
      </c>
      <c r="E51" s="11"/>
    </row>
    <row r="52" spans="1:6" ht="13.7" x14ac:dyDescent="0.5">
      <c r="A52" s="20"/>
      <c r="B52" s="21"/>
      <c r="C52" s="4" t="s">
        <v>103</v>
      </c>
      <c r="D52" s="4" t="s">
        <v>228</v>
      </c>
    </row>
    <row r="53" spans="1:6" ht="13.7" x14ac:dyDescent="0.5">
      <c r="A53" s="20"/>
      <c r="B53" s="21"/>
      <c r="C53" s="4" t="s">
        <v>105</v>
      </c>
      <c r="D53" s="4" t="s">
        <v>229</v>
      </c>
    </row>
    <row r="54" spans="1:6" ht="13.7" x14ac:dyDescent="0.5">
      <c r="A54" s="20"/>
      <c r="B54" s="21"/>
      <c r="C54" s="4" t="s">
        <v>107</v>
      </c>
      <c r="D54" s="4" t="s">
        <v>230</v>
      </c>
    </row>
    <row r="55" spans="1:6" ht="13.7" x14ac:dyDescent="0.5">
      <c r="A55" s="20"/>
      <c r="B55" s="21"/>
      <c r="C55" s="4" t="s">
        <v>109</v>
      </c>
      <c r="D55" s="4" t="s">
        <v>231</v>
      </c>
    </row>
    <row r="56" spans="1:6" ht="13.7" x14ac:dyDescent="0.5">
      <c r="A56" s="20"/>
      <c r="B56" s="21"/>
      <c r="C56" s="4" t="s">
        <v>180</v>
      </c>
      <c r="D56" s="4" t="s">
        <v>197</v>
      </c>
    </row>
    <row r="57" spans="1:6" ht="13.7" x14ac:dyDescent="0.5">
      <c r="A57" s="20"/>
      <c r="B57" s="21"/>
      <c r="C57" s="4" t="s">
        <v>1776</v>
      </c>
      <c r="D57" s="4" t="s">
        <v>1777</v>
      </c>
    </row>
    <row r="58" spans="1:6" x14ac:dyDescent="0.4">
      <c r="A58" s="22"/>
      <c r="B58" s="22"/>
      <c r="C58" s="6" t="s">
        <v>3593</v>
      </c>
      <c r="D58" s="6" t="s">
        <v>3579</v>
      </c>
    </row>
    <row r="60" spans="1:6" ht="13.7" x14ac:dyDescent="0.5">
      <c r="A60" s="20" t="s">
        <v>111</v>
      </c>
      <c r="B60" s="21" t="s">
        <v>169</v>
      </c>
      <c r="C60" s="4" t="s">
        <v>158</v>
      </c>
      <c r="D60" s="4" t="s">
        <v>189</v>
      </c>
    </row>
    <row r="61" spans="1:6" ht="13.7" x14ac:dyDescent="0.5">
      <c r="A61" s="20"/>
      <c r="B61" s="21"/>
      <c r="C61" s="4" t="s">
        <v>232</v>
      </c>
      <c r="D61" s="4" t="s">
        <v>233</v>
      </c>
    </row>
    <row r="62" spans="1:6" ht="13.7" x14ac:dyDescent="0.5">
      <c r="A62" s="20"/>
      <c r="B62" s="21"/>
      <c r="C62" s="4" t="s">
        <v>234</v>
      </c>
      <c r="D62" s="4" t="s">
        <v>235</v>
      </c>
    </row>
    <row r="63" spans="1:6" ht="13.7" x14ac:dyDescent="0.5">
      <c r="A63" s="20"/>
      <c r="B63" s="21"/>
      <c r="C63" s="4" t="s">
        <v>67</v>
      </c>
      <c r="D63" s="4" t="s">
        <v>116</v>
      </c>
    </row>
    <row r="64" spans="1:6" ht="13.7" x14ac:dyDescent="0.5">
      <c r="A64" s="20"/>
      <c r="B64" s="21"/>
      <c r="C64" s="4" t="s">
        <v>236</v>
      </c>
      <c r="D64" s="4" t="s">
        <v>237</v>
      </c>
    </row>
    <row r="65" spans="1:4" ht="13.7" x14ac:dyDescent="0.5">
      <c r="A65" s="20"/>
      <c r="B65" s="21"/>
      <c r="C65" s="4" t="s">
        <v>198</v>
      </c>
      <c r="D65" s="4" t="s">
        <v>199</v>
      </c>
    </row>
    <row r="66" spans="1:4" ht="13.7" x14ac:dyDescent="0.5">
      <c r="A66" s="20"/>
      <c r="B66" s="21"/>
      <c r="C66" s="4" t="s">
        <v>1738</v>
      </c>
      <c r="D66" s="4" t="s">
        <v>1772</v>
      </c>
    </row>
    <row r="67" spans="1:4" ht="13.7" x14ac:dyDescent="0.5">
      <c r="A67" s="20"/>
      <c r="B67" s="21"/>
      <c r="C67" s="4" t="s">
        <v>1740</v>
      </c>
      <c r="D67" s="4" t="s">
        <v>1773</v>
      </c>
    </row>
    <row r="68" spans="1:4" ht="13.7" x14ac:dyDescent="0.5">
      <c r="A68" s="20"/>
      <c r="B68" s="21"/>
      <c r="C68" s="4" t="s">
        <v>1742</v>
      </c>
      <c r="D68" s="4" t="s">
        <v>1774</v>
      </c>
    </row>
    <row r="69" spans="1:4" ht="13.7" x14ac:dyDescent="0.5">
      <c r="A69" s="20"/>
      <c r="B69" s="21"/>
      <c r="C69" s="4" t="s">
        <v>1771</v>
      </c>
      <c r="D69" s="4" t="s">
        <v>1775</v>
      </c>
    </row>
    <row r="70" spans="1:4" ht="13.7" x14ac:dyDescent="0.4">
      <c r="A70" s="20"/>
      <c r="B70" s="21"/>
      <c r="C70" s="2" t="s">
        <v>95</v>
      </c>
      <c r="D70" s="2" t="s">
        <v>3573</v>
      </c>
    </row>
    <row r="71" spans="1:4" ht="13.7" x14ac:dyDescent="0.5">
      <c r="A71" s="20"/>
      <c r="B71" s="21"/>
      <c r="C71" s="4"/>
      <c r="D71" s="4"/>
    </row>
    <row r="72" spans="1:4" ht="13.7" x14ac:dyDescent="0.4">
      <c r="A72" s="2"/>
      <c r="B72" s="3"/>
    </row>
    <row r="73" spans="1:4" ht="13.7" x14ac:dyDescent="0.5">
      <c r="A73" s="20" t="s">
        <v>119</v>
      </c>
      <c r="B73" s="21" t="s">
        <v>170</v>
      </c>
      <c r="C73" s="4" t="s">
        <v>238</v>
      </c>
      <c r="D73" s="4" t="s">
        <v>239</v>
      </c>
    </row>
    <row r="74" spans="1:4" ht="13.7" x14ac:dyDescent="0.5">
      <c r="A74" s="20"/>
      <c r="B74" s="21"/>
      <c r="C74" s="4" t="s">
        <v>122</v>
      </c>
      <c r="D74" s="4" t="s">
        <v>240</v>
      </c>
    </row>
    <row r="75" spans="1:4" ht="13.7" x14ac:dyDescent="0.5">
      <c r="A75" s="20"/>
      <c r="B75" s="21"/>
      <c r="C75" s="4" t="s">
        <v>97</v>
      </c>
      <c r="D75" s="4" t="s">
        <v>241</v>
      </c>
    </row>
    <row r="76" spans="1:4" ht="13.7" x14ac:dyDescent="0.5">
      <c r="C76" s="4"/>
      <c r="D76" s="4"/>
    </row>
    <row r="77" spans="1:4" ht="13.7" x14ac:dyDescent="0.5">
      <c r="A77" s="20" t="s">
        <v>125</v>
      </c>
      <c r="B77" s="21" t="s">
        <v>171</v>
      </c>
      <c r="C77" s="4" t="s">
        <v>126</v>
      </c>
      <c r="D77" s="4" t="s">
        <v>127</v>
      </c>
    </row>
    <row r="78" spans="1:4" ht="13.7" x14ac:dyDescent="0.5">
      <c r="A78" s="20"/>
      <c r="B78" s="21"/>
      <c r="C78" s="4" t="s">
        <v>128</v>
      </c>
      <c r="D78" s="4" t="s">
        <v>129</v>
      </c>
    </row>
    <row r="79" spans="1:4" ht="13.7" x14ac:dyDescent="0.5">
      <c r="A79" s="20"/>
      <c r="B79" s="21"/>
      <c r="C79" s="4" t="s">
        <v>200</v>
      </c>
      <c r="D79" s="4" t="s">
        <v>201</v>
      </c>
    </row>
    <row r="80" spans="1:4" ht="13.7" x14ac:dyDescent="0.5">
      <c r="A80" s="2"/>
      <c r="B80" s="3"/>
      <c r="C80" s="4"/>
      <c r="D80" s="4"/>
    </row>
    <row r="81" spans="1:6" ht="13.7" x14ac:dyDescent="0.5">
      <c r="A81" s="20" t="s">
        <v>130</v>
      </c>
      <c r="B81" s="21" t="s">
        <v>172</v>
      </c>
      <c r="C81" s="4" t="s">
        <v>131</v>
      </c>
      <c r="D81" s="4" t="s">
        <v>132</v>
      </c>
      <c r="E81" s="4"/>
      <c r="F81" s="5"/>
    </row>
    <row r="82" spans="1:6" ht="13.7" x14ac:dyDescent="0.5">
      <c r="A82" s="20"/>
      <c r="B82" s="21"/>
      <c r="C82" s="4" t="s">
        <v>133</v>
      </c>
      <c r="D82" s="4" t="s">
        <v>242</v>
      </c>
      <c r="E82" s="4"/>
      <c r="F82" s="5"/>
    </row>
    <row r="83" spans="1:6" ht="13.7" x14ac:dyDescent="0.5">
      <c r="A83" s="20"/>
      <c r="B83" s="21"/>
      <c r="C83" s="4" t="s">
        <v>243</v>
      </c>
      <c r="D83" s="4" t="s">
        <v>244</v>
      </c>
      <c r="E83" s="4"/>
      <c r="F83" s="4"/>
    </row>
    <row r="84" spans="1:6" ht="13.7" x14ac:dyDescent="0.5">
      <c r="A84" s="20"/>
      <c r="B84" s="21"/>
      <c r="C84" s="4" t="s">
        <v>98</v>
      </c>
      <c r="D84" s="4" t="s">
        <v>99</v>
      </c>
      <c r="E84" s="4"/>
      <c r="F84" s="5"/>
    </row>
    <row r="85" spans="1:6" ht="13.7" x14ac:dyDescent="0.5">
      <c r="C85" s="4"/>
      <c r="D85" s="4"/>
      <c r="E85" s="5"/>
      <c r="F85" s="5"/>
    </row>
    <row r="86" spans="1:6" ht="13.7" x14ac:dyDescent="0.5">
      <c r="A86" s="20" t="s">
        <v>137</v>
      </c>
      <c r="B86" s="21" t="s">
        <v>173</v>
      </c>
      <c r="C86" s="4" t="s">
        <v>245</v>
      </c>
      <c r="D86" s="4" t="s">
        <v>246</v>
      </c>
    </row>
    <row r="87" spans="1:6" ht="13.7" x14ac:dyDescent="0.5">
      <c r="A87" s="20"/>
      <c r="B87" s="21"/>
      <c r="C87" s="4" t="s">
        <v>140</v>
      </c>
      <c r="D87" s="4" t="s">
        <v>247</v>
      </c>
    </row>
    <row r="88" spans="1:6" ht="13.7" x14ac:dyDescent="0.5">
      <c r="A88" s="20"/>
      <c r="B88" s="21"/>
      <c r="C88" s="4" t="s">
        <v>142</v>
      </c>
      <c r="D88" s="4" t="s">
        <v>248</v>
      </c>
    </row>
    <row r="89" spans="1:6" ht="13.7" x14ac:dyDescent="0.5">
      <c r="A89" s="7"/>
      <c r="C89" s="4"/>
      <c r="D89" s="4"/>
    </row>
    <row r="90" spans="1:6" ht="13.7" x14ac:dyDescent="0.5">
      <c r="A90" s="20" t="s">
        <v>144</v>
      </c>
      <c r="B90" s="21" t="s">
        <v>174</v>
      </c>
      <c r="C90" s="4" t="s">
        <v>145</v>
      </c>
      <c r="D90" s="4" t="s">
        <v>146</v>
      </c>
      <c r="E90" s="4"/>
      <c r="F90" s="5"/>
    </row>
    <row r="91" spans="1:6" ht="13.7" x14ac:dyDescent="0.5">
      <c r="A91" s="20"/>
      <c r="B91" s="21"/>
      <c r="C91" s="4" t="s">
        <v>249</v>
      </c>
      <c r="D91" s="4" t="s">
        <v>250</v>
      </c>
    </row>
    <row r="92" spans="1:6" ht="13.7" x14ac:dyDescent="0.5">
      <c r="C92" s="4"/>
      <c r="D92" s="4"/>
    </row>
    <row r="93" spans="1:6" ht="13.7" x14ac:dyDescent="0.5">
      <c r="A93" s="20" t="s">
        <v>149</v>
      </c>
      <c r="B93" s="21" t="s">
        <v>175</v>
      </c>
      <c r="C93" s="4" t="s">
        <v>150</v>
      </c>
      <c r="D93" s="4" t="s">
        <v>251</v>
      </c>
      <c r="E93" s="4"/>
      <c r="F93" s="5"/>
    </row>
    <row r="94" spans="1:6" ht="13.7" x14ac:dyDescent="0.5">
      <c r="A94" s="20"/>
      <c r="B94" s="21"/>
      <c r="C94" s="4" t="s">
        <v>252</v>
      </c>
      <c r="D94" s="4" t="s">
        <v>253</v>
      </c>
      <c r="E94" s="5"/>
      <c r="F94" s="5"/>
    </row>
    <row r="95" spans="1:6" ht="13.7" x14ac:dyDescent="0.5">
      <c r="A95" s="20"/>
      <c r="B95" s="21"/>
      <c r="C95" s="4" t="s">
        <v>3588</v>
      </c>
      <c r="D95" s="4" t="s">
        <v>1783</v>
      </c>
    </row>
    <row r="96" spans="1:6" ht="13.7" x14ac:dyDescent="0.5">
      <c r="C96" s="4"/>
      <c r="D96" s="4"/>
    </row>
    <row r="97" spans="1:4" ht="13.7" x14ac:dyDescent="0.5">
      <c r="A97" s="2" t="s">
        <v>154</v>
      </c>
      <c r="B97" s="3" t="s">
        <v>155</v>
      </c>
      <c r="C97" s="4"/>
      <c r="D97" s="4"/>
    </row>
    <row r="98" spans="1:4" ht="13.7" x14ac:dyDescent="0.5">
      <c r="C98" s="4"/>
      <c r="D98" s="4"/>
    </row>
    <row r="99" spans="1:4" ht="13.7" x14ac:dyDescent="0.5">
      <c r="A99" s="20" t="s">
        <v>156</v>
      </c>
      <c r="B99" s="21" t="s">
        <v>157</v>
      </c>
      <c r="C99" s="4" t="s">
        <v>158</v>
      </c>
      <c r="D99" s="4" t="s">
        <v>189</v>
      </c>
    </row>
    <row r="100" spans="1:4" ht="13.7" x14ac:dyDescent="0.5">
      <c r="A100" s="20"/>
      <c r="B100" s="21"/>
      <c r="C100" s="4" t="s">
        <v>159</v>
      </c>
      <c r="D100" s="4" t="s">
        <v>190</v>
      </c>
    </row>
    <row r="101" spans="1:4" ht="13.7" x14ac:dyDescent="0.5">
      <c r="A101" s="20"/>
      <c r="B101" s="21"/>
      <c r="C101" s="4" t="s">
        <v>51</v>
      </c>
      <c r="D101" s="4" t="s">
        <v>165</v>
      </c>
    </row>
    <row r="102" spans="1:4" ht="13.7" x14ac:dyDescent="0.5">
      <c r="A102" s="20"/>
      <c r="B102" s="21"/>
      <c r="C102" s="4" t="s">
        <v>178</v>
      </c>
      <c r="D102" s="4" t="s">
        <v>179</v>
      </c>
    </row>
    <row r="103" spans="1:4" ht="13.7" x14ac:dyDescent="0.4">
      <c r="A103" s="20"/>
      <c r="B103" s="21"/>
      <c r="C103" s="2" t="s">
        <v>191</v>
      </c>
      <c r="D103" s="2" t="s">
        <v>192</v>
      </c>
    </row>
    <row r="104" spans="1:4" ht="13.7" x14ac:dyDescent="0.4">
      <c r="A104" s="20"/>
      <c r="B104" s="21"/>
      <c r="C104" s="2" t="s">
        <v>1790</v>
      </c>
      <c r="D104" s="2" t="s">
        <v>1788</v>
      </c>
    </row>
    <row r="105" spans="1:4" ht="13.7" x14ac:dyDescent="0.4">
      <c r="A105" s="20"/>
      <c r="B105" s="21"/>
      <c r="C105" s="2" t="s">
        <v>3580</v>
      </c>
      <c r="D105" s="2" t="s">
        <v>3584</v>
      </c>
    </row>
    <row r="106" spans="1:4" ht="13.7" x14ac:dyDescent="0.4">
      <c r="A106" s="20"/>
      <c r="B106" s="21"/>
      <c r="C106" s="2" t="s">
        <v>1763</v>
      </c>
      <c r="D106" s="2" t="s">
        <v>1787</v>
      </c>
    </row>
    <row r="107" spans="1:4" ht="13.7" x14ac:dyDescent="0.4">
      <c r="A107" s="20"/>
      <c r="B107" s="21"/>
      <c r="C107" s="2" t="s">
        <v>1764</v>
      </c>
      <c r="D107" s="2" t="s">
        <v>1785</v>
      </c>
    </row>
    <row r="108" spans="1:4" x14ac:dyDescent="0.4">
      <c r="A108" s="20"/>
      <c r="B108" s="21"/>
      <c r="C108" s="6" t="s">
        <v>114</v>
      </c>
      <c r="D108" s="6" t="s">
        <v>115</v>
      </c>
    </row>
    <row r="109" spans="1:4" x14ac:dyDescent="0.4">
      <c r="A109" s="22"/>
      <c r="B109" s="22"/>
      <c r="C109" s="6" t="s">
        <v>152</v>
      </c>
      <c r="D109" s="6" t="s">
        <v>153</v>
      </c>
    </row>
    <row r="110" spans="1:4" x14ac:dyDescent="0.4">
      <c r="A110" s="22"/>
      <c r="B110" s="22"/>
      <c r="C110" s="6" t="s">
        <v>3575</v>
      </c>
      <c r="D110" s="6" t="s">
        <v>3576</v>
      </c>
    </row>
    <row r="111" spans="1:4" x14ac:dyDescent="0.4">
      <c r="A111" s="22"/>
      <c r="B111" s="22"/>
      <c r="C111" s="6" t="s">
        <v>3590</v>
      </c>
      <c r="D111" s="6" t="s">
        <v>3581</v>
      </c>
    </row>
  </sheetData>
  <mergeCells count="28">
    <mergeCell ref="B99:B111"/>
    <mergeCell ref="A99:A111"/>
    <mergeCell ref="A93:A95"/>
    <mergeCell ref="B93:B95"/>
    <mergeCell ref="A81:A84"/>
    <mergeCell ref="B81:B84"/>
    <mergeCell ref="A86:A88"/>
    <mergeCell ref="B86:B88"/>
    <mergeCell ref="A90:A91"/>
    <mergeCell ref="B90:B91"/>
    <mergeCell ref="A73:A75"/>
    <mergeCell ref="B73:B75"/>
    <mergeCell ref="A77:A79"/>
    <mergeCell ref="B77:B79"/>
    <mergeCell ref="A60:A71"/>
    <mergeCell ref="B60:B71"/>
    <mergeCell ref="A29:A35"/>
    <mergeCell ref="B29:B35"/>
    <mergeCell ref="A37:A49"/>
    <mergeCell ref="B37:B49"/>
    <mergeCell ref="B51:B58"/>
    <mergeCell ref="A51:A58"/>
    <mergeCell ref="A1:B1"/>
    <mergeCell ref="C1:D1"/>
    <mergeCell ref="A18:A27"/>
    <mergeCell ref="B18:B27"/>
    <mergeCell ref="B2:B16"/>
    <mergeCell ref="A2:A16"/>
  </mergeCells>
  <phoneticPr fontId="2" type="noConversion"/>
  <hyperlinks>
    <hyperlink ref="D26" location="ventilation!A1" display="natural ventilation"/>
    <hyperlink ref="D88:D89" location="particle!A1" display="particle"/>
    <hyperlink ref="B37:B42" location="'building performance '!A1" display="building performance"/>
    <hyperlink ref="B93:B94" location="daylighting!A1" display="daylighting"/>
    <hyperlink ref="B90:B91" location="PV!A1" display="PV"/>
    <hyperlink ref="B97" location="PCM!A1" display="PCM"/>
    <hyperlink ref="B51:B54" location="'energy system'!A1" display="energy system"/>
    <hyperlink ref="B86:B88" location="particle!A1" display="particle"/>
    <hyperlink ref="B73:B75" location="'occupant behavior'!A1" display="occupant behavior"/>
    <hyperlink ref="B60:B66" location="urban!A1" display="urban"/>
    <hyperlink ref="B99:B103" location="'datadriven and machine learning'!A1" display="data-driven and machine learning"/>
    <hyperlink ref="B3:B15" location="HVAC!A1" display="HVAC"/>
    <hyperlink ref="B18:B26" location="ventilation!A1" display="ventilation"/>
    <hyperlink ref="B29:B35" location="'indoor air quality(IAQ)'!A1" display="indoor air quality(IAQ)"/>
    <hyperlink ref="B37:B48" location="'building performance'!A1" display="building performance"/>
    <hyperlink ref="B51:B56" location="energy!A1" display="energy"/>
    <hyperlink ref="B78:B79" location="'thermal comfort'!A1" display="thermal comfort"/>
    <hyperlink ref="B81:B84" location="'building environment'!A1" display="building environment"/>
    <hyperlink ref="B93:B94" location="daylighting!A1" display="daylighting"/>
    <hyperlink ref="D42" location="'Building energy retrofit'!A1" display="Building Energy Retrofit"/>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8"/>
  <sheetViews>
    <sheetView topLeftCell="A4" workbookViewId="0">
      <selection activeCell="B97" sqref="B97"/>
    </sheetView>
  </sheetViews>
  <sheetFormatPr defaultColWidth="9.1171875" defaultRowHeight="12.7" x14ac:dyDescent="0.4"/>
  <cols>
    <col min="1" max="1" width="15.29296875" style="1" customWidth="1"/>
    <col min="2" max="2" width="17.41015625" style="1" customWidth="1"/>
    <col min="3" max="3" width="11.5859375" style="1" customWidth="1"/>
    <col min="4" max="4" width="22.5859375" style="1" customWidth="1"/>
    <col min="5" max="5" width="11.5859375" style="1" customWidth="1"/>
    <col min="6" max="6" width="27.5859375" style="1" customWidth="1"/>
    <col min="7" max="16384" width="9.1171875" style="1"/>
  </cols>
  <sheetData>
    <row r="1" spans="1:22" s="9" customFormat="1" ht="38" x14ac:dyDescent="0.4">
      <c r="C1" s="16" t="s">
        <v>162</v>
      </c>
      <c r="D1" s="16" t="s">
        <v>0</v>
      </c>
      <c r="E1" s="16" t="s">
        <v>161</v>
      </c>
      <c r="F1" s="16" t="s">
        <v>1</v>
      </c>
      <c r="G1" s="16" t="s">
        <v>255</v>
      </c>
      <c r="H1" s="16" t="s">
        <v>163</v>
      </c>
      <c r="I1" s="16" t="s">
        <v>254</v>
      </c>
      <c r="J1" s="16" t="s">
        <v>164</v>
      </c>
      <c r="K1" s="16" t="s">
        <v>256</v>
      </c>
      <c r="L1" s="16" t="s">
        <v>257</v>
      </c>
      <c r="M1" s="16" t="s">
        <v>258</v>
      </c>
      <c r="N1" s="16" t="s">
        <v>259</v>
      </c>
      <c r="O1" s="16" t="s">
        <v>2</v>
      </c>
      <c r="P1" s="16" t="s">
        <v>3</v>
      </c>
      <c r="Q1" s="16" t="s">
        <v>4</v>
      </c>
      <c r="R1" s="16" t="s">
        <v>5</v>
      </c>
      <c r="S1" s="16" t="s">
        <v>6</v>
      </c>
      <c r="T1" s="16" t="s">
        <v>7</v>
      </c>
      <c r="U1" s="16" t="s">
        <v>8</v>
      </c>
      <c r="V1" s="16" t="s">
        <v>9</v>
      </c>
    </row>
    <row r="2" spans="1:22" x14ac:dyDescent="0.4">
      <c r="A2" s="10" t="s">
        <v>31</v>
      </c>
      <c r="B2" s="10" t="s">
        <v>32</v>
      </c>
      <c r="E2" s="10"/>
      <c r="F2" s="10"/>
    </row>
    <row r="3" spans="1:22" x14ac:dyDescent="0.4">
      <c r="C3" s="1" t="s">
        <v>2896</v>
      </c>
      <c r="D3" s="1" t="s">
        <v>2897</v>
      </c>
      <c r="E3" s="1" t="s">
        <v>2898</v>
      </c>
      <c r="F3" s="1" t="s">
        <v>12</v>
      </c>
      <c r="G3" s="1" t="s">
        <v>262</v>
      </c>
      <c r="H3" s="1" t="s">
        <v>2899</v>
      </c>
      <c r="I3" s="1" t="s">
        <v>2900</v>
      </c>
      <c r="J3" s="1" t="s">
        <v>2901</v>
      </c>
      <c r="K3" s="1" t="s">
        <v>2902</v>
      </c>
      <c r="L3" s="1" t="s">
        <v>2903</v>
      </c>
      <c r="M3" s="1" t="s">
        <v>2904</v>
      </c>
      <c r="N3" s="1" t="s">
        <v>321</v>
      </c>
      <c r="O3" s="1" t="s">
        <v>22</v>
      </c>
      <c r="P3" s="1">
        <v>2025</v>
      </c>
      <c r="Q3" s="1">
        <v>18</v>
      </c>
      <c r="R3" s="1">
        <v>6</v>
      </c>
      <c r="S3" s="1">
        <v>1355</v>
      </c>
      <c r="T3" s="1">
        <v>1376</v>
      </c>
      <c r="U3" s="1" t="s">
        <v>2905</v>
      </c>
      <c r="V3" s="1" t="str">
        <f>HYPERLINK("http://dx.doi.org/10.1007/s12273-025-1270-6","http://dx.doi.org/10.1007/s12273-025-1270-6")</f>
        <v>http://dx.doi.org/10.1007/s12273-025-1270-6</v>
      </c>
    </row>
    <row r="5" spans="1:22" ht="13.7" x14ac:dyDescent="0.5">
      <c r="A5" s="4" t="s">
        <v>33</v>
      </c>
      <c r="B5" s="10" t="s">
        <v>34</v>
      </c>
      <c r="E5" s="4"/>
      <c r="F5" s="10"/>
    </row>
    <row r="6" spans="1:22" x14ac:dyDescent="0.4">
      <c r="C6" s="1" t="s">
        <v>373</v>
      </c>
      <c r="D6" s="1" t="s">
        <v>374</v>
      </c>
      <c r="E6" s="1" t="s">
        <v>375</v>
      </c>
      <c r="F6" s="1" t="s">
        <v>12</v>
      </c>
      <c r="G6" s="1" t="s">
        <v>262</v>
      </c>
      <c r="H6" s="1" t="s">
        <v>376</v>
      </c>
      <c r="I6" s="1" t="s">
        <v>377</v>
      </c>
      <c r="J6" s="1" t="s">
        <v>378</v>
      </c>
      <c r="K6" s="1" t="s">
        <v>379</v>
      </c>
      <c r="L6" s="1" t="s">
        <v>380</v>
      </c>
      <c r="M6" s="1" t="s">
        <v>381</v>
      </c>
      <c r="N6" s="1" t="s">
        <v>382</v>
      </c>
      <c r="O6" s="1" t="s">
        <v>23</v>
      </c>
      <c r="P6" s="1">
        <v>2024</v>
      </c>
      <c r="Q6" s="1">
        <v>17</v>
      </c>
      <c r="R6" s="1">
        <v>4</v>
      </c>
      <c r="S6" s="1">
        <v>543</v>
      </c>
      <c r="T6" s="1">
        <v>560</v>
      </c>
      <c r="U6" s="1" t="s">
        <v>383</v>
      </c>
      <c r="V6" s="1" t="str">
        <f>HYPERLINK("http://dx.doi.org/10.1007/s12273-023-1098-x","http://dx.doi.org/10.1007/s12273-023-1098-x")</f>
        <v>http://dx.doi.org/10.1007/s12273-023-1098-x</v>
      </c>
    </row>
    <row r="7" spans="1:22" x14ac:dyDescent="0.4">
      <c r="C7" s="1" t="s">
        <v>955</v>
      </c>
      <c r="D7" s="1" t="s">
        <v>956</v>
      </c>
      <c r="E7" s="1" t="s">
        <v>957</v>
      </c>
      <c r="F7" s="1" t="s">
        <v>12</v>
      </c>
      <c r="G7" s="1" t="s">
        <v>262</v>
      </c>
      <c r="H7" s="1" t="s">
        <v>958</v>
      </c>
      <c r="I7" s="1" t="s">
        <v>959</v>
      </c>
      <c r="J7" s="1" t="s">
        <v>960</v>
      </c>
      <c r="K7" s="1" t="s">
        <v>961</v>
      </c>
      <c r="L7" s="1" t="s">
        <v>962</v>
      </c>
      <c r="M7" s="1" t="s">
        <v>963</v>
      </c>
      <c r="N7" s="1" t="s">
        <v>964</v>
      </c>
      <c r="O7" s="1" t="s">
        <v>16</v>
      </c>
      <c r="P7" s="1">
        <v>2024</v>
      </c>
      <c r="Q7" s="1">
        <v>17</v>
      </c>
      <c r="R7" s="1">
        <v>9</v>
      </c>
      <c r="S7" s="1">
        <v>1491</v>
      </c>
      <c r="T7" s="1">
        <v>1513</v>
      </c>
      <c r="U7" s="1" t="s">
        <v>965</v>
      </c>
      <c r="V7" s="1" t="str">
        <f>HYPERLINK("http://dx.doi.org/10.1007/s12273-024-1153-2","http://dx.doi.org/10.1007/s12273-024-1153-2")</f>
        <v>http://dx.doi.org/10.1007/s12273-024-1153-2</v>
      </c>
    </row>
    <row r="8" spans="1:22" x14ac:dyDescent="0.4">
      <c r="C8" s="1" t="s">
        <v>967</v>
      </c>
      <c r="D8" s="1" t="s">
        <v>968</v>
      </c>
      <c r="E8" s="1" t="s">
        <v>969</v>
      </c>
      <c r="F8" s="1" t="s">
        <v>12</v>
      </c>
      <c r="G8" s="1" t="s">
        <v>262</v>
      </c>
      <c r="H8" s="1" t="s">
        <v>970</v>
      </c>
      <c r="I8" s="1" t="s">
        <v>971</v>
      </c>
      <c r="J8" s="1" t="s">
        <v>972</v>
      </c>
      <c r="K8" s="1" t="s">
        <v>973</v>
      </c>
      <c r="L8" s="1" t="s">
        <v>974</v>
      </c>
      <c r="M8" s="1" t="s">
        <v>975</v>
      </c>
      <c r="N8" s="1" t="s">
        <v>976</v>
      </c>
      <c r="O8" s="1" t="s">
        <v>16</v>
      </c>
      <c r="P8" s="1">
        <v>2024</v>
      </c>
      <c r="Q8" s="1">
        <v>17</v>
      </c>
      <c r="R8" s="1">
        <v>9</v>
      </c>
      <c r="S8" s="1">
        <v>1515</v>
      </c>
      <c r="T8" s="1">
        <v>1529</v>
      </c>
      <c r="U8" s="1" t="s">
        <v>977</v>
      </c>
      <c r="V8" s="1" t="str">
        <f>HYPERLINK("http://dx.doi.org/10.1007/s12273-024-1151-4","http://dx.doi.org/10.1007/s12273-024-1151-4")</f>
        <v>http://dx.doi.org/10.1007/s12273-024-1151-4</v>
      </c>
    </row>
    <row r="9" spans="1:22" x14ac:dyDescent="0.4">
      <c r="C9" s="1" t="s">
        <v>1051</v>
      </c>
      <c r="D9" s="1" t="s">
        <v>1052</v>
      </c>
      <c r="E9" s="1" t="s">
        <v>1053</v>
      </c>
      <c r="F9" s="1" t="s">
        <v>12</v>
      </c>
      <c r="G9" s="1" t="s">
        <v>262</v>
      </c>
      <c r="H9" s="1" t="s">
        <v>1054</v>
      </c>
      <c r="I9" s="1" t="s">
        <v>1055</v>
      </c>
      <c r="J9" s="1" t="s">
        <v>1056</v>
      </c>
      <c r="K9" s="1" t="s">
        <v>1057</v>
      </c>
      <c r="L9" s="1" t="s">
        <v>1058</v>
      </c>
      <c r="M9" s="1" t="s">
        <v>1059</v>
      </c>
      <c r="N9" s="1" t="s">
        <v>1060</v>
      </c>
      <c r="O9" s="1" t="s">
        <v>16</v>
      </c>
      <c r="P9" s="1">
        <v>2024</v>
      </c>
      <c r="Q9" s="1">
        <v>17</v>
      </c>
      <c r="R9" s="1">
        <v>9</v>
      </c>
      <c r="S9" s="1">
        <v>1629</v>
      </c>
      <c r="T9" s="1">
        <v>1651</v>
      </c>
      <c r="U9" s="1" t="s">
        <v>1061</v>
      </c>
      <c r="V9" s="1" t="str">
        <f>HYPERLINK("http://dx.doi.org/10.1007/s12273-024-1150-5","http://dx.doi.org/10.1007/s12273-024-1150-5")</f>
        <v>http://dx.doi.org/10.1007/s12273-024-1150-5</v>
      </c>
    </row>
    <row r="10" spans="1:22" x14ac:dyDescent="0.4">
      <c r="C10" s="1" t="s">
        <v>1382</v>
      </c>
      <c r="D10" s="1" t="s">
        <v>1383</v>
      </c>
      <c r="E10" s="1" t="s">
        <v>1384</v>
      </c>
      <c r="F10" s="1" t="s">
        <v>12</v>
      </c>
      <c r="G10" s="1" t="s">
        <v>262</v>
      </c>
      <c r="H10" s="1" t="s">
        <v>1385</v>
      </c>
      <c r="I10" s="1" t="s">
        <v>1386</v>
      </c>
      <c r="J10" s="1" t="s">
        <v>1387</v>
      </c>
      <c r="K10" s="1" t="s">
        <v>1388</v>
      </c>
      <c r="L10" s="1" t="s">
        <v>1306</v>
      </c>
      <c r="M10" s="1" t="s">
        <v>1389</v>
      </c>
      <c r="N10" s="1" t="s">
        <v>1390</v>
      </c>
      <c r="O10" s="1" t="s">
        <v>27</v>
      </c>
      <c r="P10" s="1">
        <v>2024</v>
      </c>
      <c r="Q10" s="1">
        <v>17</v>
      </c>
      <c r="R10" s="1">
        <v>12</v>
      </c>
      <c r="S10" s="1">
        <v>2163</v>
      </c>
      <c r="T10" s="1">
        <v>2178</v>
      </c>
      <c r="U10" s="1" t="s">
        <v>1391</v>
      </c>
      <c r="V10" s="1" t="str">
        <f>HYPERLINK("http://dx.doi.org/10.1007/s12273-024-1197-3","http://dx.doi.org/10.1007/s12273-024-1197-3")</f>
        <v>http://dx.doi.org/10.1007/s12273-024-1197-3</v>
      </c>
    </row>
    <row r="11" spans="1:22" x14ac:dyDescent="0.4">
      <c r="C11" s="1" t="s">
        <v>1540</v>
      </c>
      <c r="D11" s="1" t="s">
        <v>1541</v>
      </c>
      <c r="E11" s="1" t="s">
        <v>1542</v>
      </c>
      <c r="F11" s="1" t="s">
        <v>12</v>
      </c>
      <c r="G11" s="1" t="s">
        <v>1748</v>
      </c>
      <c r="H11" s="1" t="s">
        <v>1543</v>
      </c>
      <c r="I11" s="1" t="s">
        <v>1544</v>
      </c>
      <c r="J11" s="1" t="s">
        <v>1545</v>
      </c>
      <c r="K11" s="1" t="s">
        <v>1546</v>
      </c>
      <c r="L11" s="1" t="s">
        <v>1547</v>
      </c>
      <c r="M11" s="1" t="s">
        <v>1548</v>
      </c>
      <c r="N11" s="1" t="s">
        <v>1549</v>
      </c>
      <c r="O11" s="1" t="s">
        <v>1749</v>
      </c>
      <c r="P11" s="1">
        <v>2025</v>
      </c>
      <c r="Q11" s="1">
        <v>18</v>
      </c>
      <c r="R11" s="1">
        <v>1</v>
      </c>
      <c r="S11" s="1">
        <v>47</v>
      </c>
      <c r="T11" s="1">
        <v>63</v>
      </c>
      <c r="U11" s="1" t="s">
        <v>1550</v>
      </c>
      <c r="V11" s="1" t="str">
        <f>HYPERLINK("http://dx.doi.org/10.1007/s12273-024-1205-7","http://dx.doi.org/10.1007/s12273-024-1205-7")</f>
        <v>http://dx.doi.org/10.1007/s12273-024-1205-7</v>
      </c>
    </row>
    <row r="12" spans="1:22" x14ac:dyDescent="0.4">
      <c r="C12" s="1" t="s">
        <v>2577</v>
      </c>
      <c r="D12" s="1" t="s">
        <v>2578</v>
      </c>
      <c r="E12" s="1" t="s">
        <v>2579</v>
      </c>
      <c r="F12" s="1" t="s">
        <v>12</v>
      </c>
      <c r="G12" s="1" t="s">
        <v>262</v>
      </c>
      <c r="H12" s="1" t="s">
        <v>2580</v>
      </c>
      <c r="I12" s="1" t="s">
        <v>2581</v>
      </c>
      <c r="J12" s="1" t="s">
        <v>2582</v>
      </c>
      <c r="K12" s="1" t="s">
        <v>2583</v>
      </c>
      <c r="L12" s="1" t="s">
        <v>974</v>
      </c>
      <c r="M12" s="1" t="s">
        <v>2584</v>
      </c>
      <c r="N12" s="1" t="s">
        <v>2585</v>
      </c>
      <c r="O12" s="1" t="s">
        <v>16</v>
      </c>
      <c r="P12" s="1">
        <v>2025</v>
      </c>
      <c r="Q12" s="1">
        <v>18</v>
      </c>
      <c r="R12" s="1">
        <v>9</v>
      </c>
      <c r="S12" s="1">
        <v>2275</v>
      </c>
      <c r="T12" s="1">
        <v>2291</v>
      </c>
      <c r="U12" s="1" t="s">
        <v>2586</v>
      </c>
      <c r="V12" s="1" t="str">
        <f>HYPERLINK("http://dx.doi.org/10.1007/s12273-025-1311-1","http://dx.doi.org/10.1007/s12273-025-1311-1")</f>
        <v>http://dx.doi.org/10.1007/s12273-025-1311-1</v>
      </c>
    </row>
    <row r="13" spans="1:22" x14ac:dyDescent="0.4">
      <c r="C13" s="1" t="s">
        <v>2885</v>
      </c>
      <c r="D13" s="1" t="s">
        <v>2886</v>
      </c>
      <c r="E13" s="1" t="s">
        <v>2887</v>
      </c>
      <c r="F13" s="1" t="s">
        <v>12</v>
      </c>
      <c r="G13" s="1" t="s">
        <v>262</v>
      </c>
      <c r="H13" s="1" t="s">
        <v>2888</v>
      </c>
      <c r="I13" s="1" t="s">
        <v>11</v>
      </c>
      <c r="J13" s="1" t="s">
        <v>2889</v>
      </c>
      <c r="K13" s="1" t="s">
        <v>2890</v>
      </c>
      <c r="L13" s="1" t="s">
        <v>2891</v>
      </c>
      <c r="M13" s="1" t="s">
        <v>2892</v>
      </c>
      <c r="N13" s="1" t="s">
        <v>2893</v>
      </c>
      <c r="O13" s="1" t="s">
        <v>22</v>
      </c>
      <c r="P13" s="1">
        <v>2025</v>
      </c>
      <c r="Q13" s="1">
        <v>18</v>
      </c>
      <c r="R13" s="1">
        <v>6</v>
      </c>
      <c r="S13" s="1">
        <v>1393</v>
      </c>
      <c r="T13" s="1">
        <v>1407</v>
      </c>
      <c r="U13" s="1" t="s">
        <v>2894</v>
      </c>
      <c r="V13" s="1" t="str">
        <f>HYPERLINK("http://dx.doi.org/10.1007/s12273-025-1282-2","http://dx.doi.org/10.1007/s12273-025-1282-2")</f>
        <v>http://dx.doi.org/10.1007/s12273-025-1282-2</v>
      </c>
    </row>
    <row r="14" spans="1:22" x14ac:dyDescent="0.4">
      <c r="C14" s="1" t="s">
        <v>2940</v>
      </c>
      <c r="D14" s="1" t="s">
        <v>2941</v>
      </c>
      <c r="E14" s="1" t="s">
        <v>2942</v>
      </c>
      <c r="F14" s="1" t="s">
        <v>12</v>
      </c>
      <c r="G14" s="1" t="s">
        <v>262</v>
      </c>
      <c r="H14" s="1" t="s">
        <v>2943</v>
      </c>
      <c r="I14" s="1" t="s">
        <v>2944</v>
      </c>
      <c r="J14" s="1" t="s">
        <v>2945</v>
      </c>
      <c r="K14" s="1" t="s">
        <v>2946</v>
      </c>
      <c r="L14" s="1" t="s">
        <v>2947</v>
      </c>
      <c r="M14" s="1" t="s">
        <v>2948</v>
      </c>
      <c r="N14" s="1" t="s">
        <v>2949</v>
      </c>
      <c r="O14" s="1" t="s">
        <v>21</v>
      </c>
      <c r="P14" s="1">
        <v>2025</v>
      </c>
      <c r="Q14" s="1">
        <v>18</v>
      </c>
      <c r="R14" s="1">
        <v>5</v>
      </c>
      <c r="S14" s="1">
        <v>1019</v>
      </c>
      <c r="T14" s="1">
        <v>1042</v>
      </c>
      <c r="U14" s="1" t="s">
        <v>2950</v>
      </c>
      <c r="V14" s="1" t="str">
        <f>HYPERLINK("http://dx.doi.org/10.1007/s12273-025-1240-z","http://dx.doi.org/10.1007/s12273-025-1240-z")</f>
        <v>http://dx.doi.org/10.1007/s12273-025-1240-z</v>
      </c>
    </row>
    <row r="15" spans="1:22" x14ac:dyDescent="0.4">
      <c r="C15" s="1" t="s">
        <v>3030</v>
      </c>
      <c r="D15" s="1" t="s">
        <v>3031</v>
      </c>
      <c r="E15" s="1" t="s">
        <v>3032</v>
      </c>
      <c r="F15" s="1" t="s">
        <v>12</v>
      </c>
      <c r="G15" s="1" t="s">
        <v>262</v>
      </c>
      <c r="H15" s="1" t="s">
        <v>3033</v>
      </c>
      <c r="I15" s="1" t="s">
        <v>3034</v>
      </c>
      <c r="J15" s="1" t="s">
        <v>3035</v>
      </c>
      <c r="K15" s="1" t="s">
        <v>3036</v>
      </c>
      <c r="L15" s="1" t="s">
        <v>1306</v>
      </c>
      <c r="M15" s="1" t="s">
        <v>3037</v>
      </c>
      <c r="N15" s="1" t="s">
        <v>2368</v>
      </c>
      <c r="O15" s="1" t="s">
        <v>22</v>
      </c>
      <c r="P15" s="1">
        <v>2025</v>
      </c>
      <c r="Q15" s="1">
        <v>18</v>
      </c>
      <c r="R15" s="1">
        <v>6</v>
      </c>
      <c r="S15" s="1">
        <v>1317</v>
      </c>
      <c r="T15" s="1">
        <v>1336</v>
      </c>
      <c r="U15" s="1" t="s">
        <v>3038</v>
      </c>
      <c r="V15" s="1" t="str">
        <f>HYPERLINK("http://dx.doi.org/10.1007/s12273-025-1264-4","http://dx.doi.org/10.1007/s12273-025-1264-4")</f>
        <v>http://dx.doi.org/10.1007/s12273-025-1264-4</v>
      </c>
    </row>
    <row r="16" spans="1:22" x14ac:dyDescent="0.4">
      <c r="C16" s="1" t="s">
        <v>1540</v>
      </c>
      <c r="D16" s="1" t="s">
        <v>1541</v>
      </c>
      <c r="E16" s="1" t="s">
        <v>1542</v>
      </c>
      <c r="F16" s="1" t="s">
        <v>12</v>
      </c>
      <c r="G16" s="1" t="s">
        <v>262</v>
      </c>
      <c r="H16" s="1" t="s">
        <v>1543</v>
      </c>
      <c r="I16" s="1" t="s">
        <v>1544</v>
      </c>
      <c r="J16" s="1" t="s">
        <v>1545</v>
      </c>
      <c r="K16" s="1" t="s">
        <v>1546</v>
      </c>
      <c r="L16" s="1" t="s">
        <v>1547</v>
      </c>
      <c r="M16" s="1" t="s">
        <v>1548</v>
      </c>
      <c r="N16" s="1" t="s">
        <v>1549</v>
      </c>
      <c r="O16" s="1" t="s">
        <v>24</v>
      </c>
      <c r="P16" s="1">
        <v>2025</v>
      </c>
      <c r="Q16" s="1">
        <v>18</v>
      </c>
      <c r="R16" s="1">
        <v>1</v>
      </c>
      <c r="S16" s="1">
        <v>47</v>
      </c>
      <c r="T16" s="1">
        <v>63</v>
      </c>
      <c r="U16" s="1" t="s">
        <v>1550</v>
      </c>
      <c r="V16" s="1" t="str">
        <f>HYPERLINK("http://dx.doi.org/10.1007/s12273-024-1205-7","http://dx.doi.org/10.1007/s12273-024-1205-7")</f>
        <v>http://dx.doi.org/10.1007/s12273-024-1205-7</v>
      </c>
    </row>
    <row r="18" spans="1:22" ht="13.7" x14ac:dyDescent="0.4">
      <c r="A18" s="2" t="s">
        <v>35</v>
      </c>
      <c r="B18" s="17" t="s">
        <v>36</v>
      </c>
      <c r="E18" s="2"/>
      <c r="F18" s="17"/>
    </row>
    <row r="19" spans="1:22" x14ac:dyDescent="0.4">
      <c r="C19" s="1" t="s">
        <v>843</v>
      </c>
      <c r="D19" s="1" t="s">
        <v>844</v>
      </c>
      <c r="E19" s="1" t="s">
        <v>845</v>
      </c>
      <c r="F19" s="1" t="s">
        <v>12</v>
      </c>
      <c r="G19" s="1" t="s">
        <v>262</v>
      </c>
      <c r="H19" s="1" t="s">
        <v>846</v>
      </c>
      <c r="I19" s="1" t="s">
        <v>847</v>
      </c>
      <c r="J19" s="1" t="s">
        <v>848</v>
      </c>
      <c r="K19" s="1" t="s">
        <v>849</v>
      </c>
      <c r="L19" s="1" t="s">
        <v>850</v>
      </c>
      <c r="M19" s="1" t="s">
        <v>851</v>
      </c>
      <c r="N19" s="1" t="s">
        <v>852</v>
      </c>
      <c r="O19" s="1" t="s">
        <v>19</v>
      </c>
      <c r="P19" s="1">
        <v>2024</v>
      </c>
      <c r="Q19" s="1">
        <v>17</v>
      </c>
      <c r="R19" s="1">
        <v>8</v>
      </c>
      <c r="S19" s="1">
        <v>1289</v>
      </c>
      <c r="T19" s="1">
        <v>1308</v>
      </c>
      <c r="U19" s="1" t="s">
        <v>853</v>
      </c>
      <c r="V19" s="1" t="str">
        <f>HYPERLINK("http://dx.doi.org/10.1007/s12273-024-1143-4","http://dx.doi.org/10.1007/s12273-024-1143-4")</f>
        <v>http://dx.doi.org/10.1007/s12273-024-1143-4</v>
      </c>
    </row>
    <row r="20" spans="1:22" x14ac:dyDescent="0.4">
      <c r="C20" s="1" t="s">
        <v>1856</v>
      </c>
      <c r="D20" s="1" t="s">
        <v>1857</v>
      </c>
      <c r="E20" s="1" t="s">
        <v>1858</v>
      </c>
      <c r="F20" s="1" t="s">
        <v>12</v>
      </c>
      <c r="G20" s="1" t="s">
        <v>262</v>
      </c>
      <c r="H20" s="1" t="s">
        <v>1859</v>
      </c>
      <c r="I20" s="1" t="s">
        <v>1860</v>
      </c>
      <c r="J20" s="1" t="s">
        <v>1861</v>
      </c>
      <c r="K20" s="1" t="s">
        <v>1862</v>
      </c>
      <c r="L20" s="1" t="s">
        <v>1863</v>
      </c>
      <c r="M20" s="1" t="s">
        <v>1864</v>
      </c>
      <c r="N20" s="1" t="s">
        <v>1865</v>
      </c>
      <c r="O20" s="1" t="s">
        <v>27</v>
      </c>
      <c r="P20" s="1">
        <v>2025</v>
      </c>
      <c r="Q20" s="1">
        <v>18</v>
      </c>
      <c r="R20" s="1">
        <v>12</v>
      </c>
      <c r="S20" s="1">
        <v>3275</v>
      </c>
      <c r="T20" s="1">
        <v>3294</v>
      </c>
      <c r="U20" s="1" t="s">
        <v>1866</v>
      </c>
      <c r="V20" s="1" t="str">
        <f>HYPERLINK("http://dx.doi.org/10.1007/s12273-025-1356-1","http://dx.doi.org/10.1007/s12273-025-1356-1")</f>
        <v>http://dx.doi.org/10.1007/s12273-025-1356-1</v>
      </c>
    </row>
    <row r="21" spans="1:22" x14ac:dyDescent="0.4">
      <c r="C21" s="1" t="s">
        <v>1634</v>
      </c>
      <c r="D21" s="1" t="s">
        <v>1635</v>
      </c>
      <c r="E21" s="1" t="s">
        <v>1636</v>
      </c>
      <c r="F21" s="1" t="s">
        <v>12</v>
      </c>
      <c r="G21" s="1" t="s">
        <v>1080</v>
      </c>
      <c r="H21" s="1" t="s">
        <v>1637</v>
      </c>
      <c r="I21" s="1" t="s">
        <v>1638</v>
      </c>
      <c r="J21" s="1" t="s">
        <v>1639</v>
      </c>
      <c r="K21" s="1" t="s">
        <v>1640</v>
      </c>
      <c r="L21" s="1" t="s">
        <v>1641</v>
      </c>
      <c r="M21" s="1" t="s">
        <v>1177</v>
      </c>
      <c r="N21" s="1" t="s">
        <v>1178</v>
      </c>
      <c r="O21" s="1" t="s">
        <v>1524</v>
      </c>
      <c r="P21" s="1">
        <v>2025</v>
      </c>
      <c r="Q21" s="1">
        <v>18</v>
      </c>
      <c r="R21" s="1">
        <v>1</v>
      </c>
      <c r="S21" s="1">
        <v>207</v>
      </c>
      <c r="T21" s="1">
        <v>223</v>
      </c>
      <c r="U21" s="1" t="s">
        <v>1642</v>
      </c>
      <c r="V21" s="1" t="str">
        <f>HYPERLINK("http://dx.doi.org/10.1007/s12273-024-1211-9","http://dx.doi.org/10.1007/s12273-024-1211-9")</f>
        <v>http://dx.doi.org/10.1007/s12273-024-1211-9</v>
      </c>
    </row>
    <row r="22" spans="1:22" ht="13.7" x14ac:dyDescent="0.4">
      <c r="A22" s="2"/>
      <c r="B22" s="2"/>
      <c r="C22" s="1" t="s">
        <v>1963</v>
      </c>
      <c r="D22" s="1" t="s">
        <v>1964</v>
      </c>
      <c r="E22" s="1" t="s">
        <v>1965</v>
      </c>
      <c r="F22" s="1" t="s">
        <v>12</v>
      </c>
      <c r="G22" s="1" t="s">
        <v>262</v>
      </c>
      <c r="H22" s="1" t="s">
        <v>1966</v>
      </c>
      <c r="I22" s="1" t="s">
        <v>1967</v>
      </c>
      <c r="J22" s="1" t="s">
        <v>1968</v>
      </c>
      <c r="K22" s="1" t="s">
        <v>1969</v>
      </c>
      <c r="L22" s="1" t="s">
        <v>263</v>
      </c>
      <c r="M22" s="1" t="s">
        <v>1970</v>
      </c>
      <c r="N22" s="1" t="s">
        <v>1971</v>
      </c>
      <c r="O22" s="1" t="s">
        <v>14</v>
      </c>
      <c r="P22" s="1">
        <v>2025</v>
      </c>
      <c r="Q22" s="1">
        <v>18</v>
      </c>
      <c r="R22" s="1">
        <v>11</v>
      </c>
      <c r="S22" s="1">
        <v>2899</v>
      </c>
      <c r="T22" s="1">
        <v>2921</v>
      </c>
      <c r="U22" s="1" t="s">
        <v>1972</v>
      </c>
      <c r="V22" s="1" t="str">
        <f>HYPERLINK("http://dx.doi.org/10.1007/s12273-025-1343-6","http://dx.doi.org/10.1007/s12273-025-1343-6")</f>
        <v>http://dx.doi.org/10.1007/s12273-025-1343-6</v>
      </c>
    </row>
    <row r="23" spans="1:22" x14ac:dyDescent="0.4">
      <c r="C23" s="1" t="s">
        <v>2204</v>
      </c>
      <c r="D23" s="1" t="s">
        <v>2205</v>
      </c>
      <c r="E23" s="1" t="s">
        <v>2206</v>
      </c>
      <c r="F23" s="1" t="s">
        <v>12</v>
      </c>
      <c r="G23" s="1" t="s">
        <v>262</v>
      </c>
      <c r="H23" s="1" t="s">
        <v>2207</v>
      </c>
      <c r="I23" s="1" t="s">
        <v>2208</v>
      </c>
      <c r="J23" s="1" t="s">
        <v>2209</v>
      </c>
      <c r="K23" s="1" t="s">
        <v>2210</v>
      </c>
      <c r="L23" s="1" t="s">
        <v>2211</v>
      </c>
      <c r="M23" s="1" t="s">
        <v>2212</v>
      </c>
      <c r="N23" s="1" t="s">
        <v>2213</v>
      </c>
      <c r="O23" s="1" t="s">
        <v>15</v>
      </c>
      <c r="P23" s="1">
        <v>2025</v>
      </c>
      <c r="Q23" s="1">
        <v>18</v>
      </c>
      <c r="R23" s="1">
        <v>10</v>
      </c>
      <c r="S23" s="1">
        <v>2677</v>
      </c>
      <c r="T23" s="1">
        <v>2695</v>
      </c>
      <c r="U23" s="1" t="s">
        <v>2214</v>
      </c>
      <c r="V23" s="1" t="str">
        <f>HYPERLINK("http://dx.doi.org/10.1007/s12273-025-1338-3","http://dx.doi.org/10.1007/s12273-025-1338-3")</f>
        <v>http://dx.doi.org/10.1007/s12273-025-1338-3</v>
      </c>
    </row>
    <row r="24" spans="1:22" x14ac:dyDescent="0.4">
      <c r="C24" s="1" t="s">
        <v>2253</v>
      </c>
      <c r="D24" s="1" t="s">
        <v>2254</v>
      </c>
      <c r="E24" s="1" t="s">
        <v>2255</v>
      </c>
      <c r="F24" s="1" t="s">
        <v>12</v>
      </c>
      <c r="G24" s="1" t="s">
        <v>262</v>
      </c>
      <c r="H24" s="1" t="s">
        <v>2256</v>
      </c>
      <c r="I24" s="1" t="s">
        <v>2257</v>
      </c>
      <c r="J24" s="1" t="s">
        <v>2258</v>
      </c>
      <c r="K24" s="1" t="s">
        <v>2259</v>
      </c>
      <c r="L24" s="1" t="s">
        <v>2260</v>
      </c>
      <c r="M24" s="1" t="s">
        <v>2261</v>
      </c>
      <c r="N24" s="1" t="s">
        <v>2262</v>
      </c>
      <c r="O24" s="1" t="s">
        <v>15</v>
      </c>
      <c r="P24" s="1">
        <v>2025</v>
      </c>
      <c r="Q24" s="1">
        <v>18</v>
      </c>
      <c r="R24" s="1">
        <v>10</v>
      </c>
      <c r="S24" s="1">
        <v>2577</v>
      </c>
      <c r="T24" s="1">
        <v>2600</v>
      </c>
      <c r="U24" s="1" t="s">
        <v>2263</v>
      </c>
      <c r="V24" s="1" t="str">
        <f>HYPERLINK("http://dx.doi.org/10.1007/s12273-025-1333-8","http://dx.doi.org/10.1007/s12273-025-1333-8")</f>
        <v>http://dx.doi.org/10.1007/s12273-025-1333-8</v>
      </c>
    </row>
    <row r="25" spans="1:22" x14ac:dyDescent="0.4">
      <c r="C25" s="1" t="s">
        <v>2371</v>
      </c>
      <c r="D25" s="1" t="s">
        <v>2372</v>
      </c>
      <c r="E25" s="1" t="s">
        <v>2373</v>
      </c>
      <c r="F25" s="1" t="s">
        <v>12</v>
      </c>
      <c r="G25" s="1" t="s">
        <v>262</v>
      </c>
      <c r="H25" s="1" t="s">
        <v>2374</v>
      </c>
      <c r="I25" s="1" t="s">
        <v>2375</v>
      </c>
      <c r="J25" s="1" t="s">
        <v>2376</v>
      </c>
      <c r="K25" s="1" t="s">
        <v>2377</v>
      </c>
      <c r="L25" s="1" t="s">
        <v>2378</v>
      </c>
      <c r="M25" s="1" t="s">
        <v>2379</v>
      </c>
      <c r="N25" s="1" t="s">
        <v>2380</v>
      </c>
      <c r="O25" s="1" t="s">
        <v>19</v>
      </c>
      <c r="P25" s="1">
        <v>2025</v>
      </c>
      <c r="Q25" s="1">
        <v>18</v>
      </c>
      <c r="R25" s="1">
        <v>8</v>
      </c>
      <c r="S25" s="1">
        <v>1909</v>
      </c>
      <c r="T25" s="1">
        <v>1927</v>
      </c>
      <c r="U25" s="1" t="s">
        <v>2381</v>
      </c>
      <c r="V25" s="1" t="str">
        <f>HYPERLINK("http://dx.doi.org/10.1007/s12273-025-1306-y","http://dx.doi.org/10.1007/s12273-025-1306-y")</f>
        <v>http://dx.doi.org/10.1007/s12273-025-1306-y</v>
      </c>
    </row>
    <row r="26" spans="1:22" x14ac:dyDescent="0.4">
      <c r="C26" s="1" t="s">
        <v>2442</v>
      </c>
      <c r="D26" s="1" t="s">
        <v>2443</v>
      </c>
      <c r="E26" s="1" t="s">
        <v>2444</v>
      </c>
      <c r="F26" s="1" t="s">
        <v>12</v>
      </c>
      <c r="G26" s="1" t="s">
        <v>262</v>
      </c>
      <c r="H26" s="1" t="s">
        <v>2445</v>
      </c>
      <c r="I26" s="1" t="s">
        <v>2446</v>
      </c>
      <c r="J26" s="1" t="s">
        <v>2447</v>
      </c>
      <c r="K26" s="1" t="s">
        <v>2448</v>
      </c>
      <c r="L26" s="1" t="s">
        <v>2449</v>
      </c>
      <c r="M26" s="1" t="s">
        <v>2450</v>
      </c>
      <c r="N26" s="1" t="s">
        <v>2451</v>
      </c>
      <c r="O26" s="1" t="s">
        <v>19</v>
      </c>
      <c r="P26" s="1">
        <v>2025</v>
      </c>
      <c r="Q26" s="1">
        <v>18</v>
      </c>
      <c r="R26" s="1">
        <v>8</v>
      </c>
      <c r="S26" s="1">
        <v>1963</v>
      </c>
      <c r="T26" s="1">
        <v>1999</v>
      </c>
      <c r="U26" s="1" t="s">
        <v>2452</v>
      </c>
      <c r="V26" s="1" t="str">
        <f>HYPERLINK("http://dx.doi.org/10.1007/s12273-025-1300-4","http://dx.doi.org/10.1007/s12273-025-1300-4")</f>
        <v>http://dx.doi.org/10.1007/s12273-025-1300-4</v>
      </c>
    </row>
    <row r="27" spans="1:22" x14ac:dyDescent="0.4">
      <c r="C27" s="1" t="s">
        <v>2635</v>
      </c>
      <c r="D27" s="1" t="s">
        <v>2636</v>
      </c>
      <c r="E27" s="1" t="s">
        <v>2637</v>
      </c>
      <c r="F27" s="1" t="s">
        <v>12</v>
      </c>
      <c r="G27" s="1" t="s">
        <v>262</v>
      </c>
      <c r="H27" s="1" t="s">
        <v>2638</v>
      </c>
      <c r="I27" s="1" t="s">
        <v>2639</v>
      </c>
      <c r="J27" s="1" t="s">
        <v>2640</v>
      </c>
      <c r="K27" s="1" t="s">
        <v>2641</v>
      </c>
      <c r="L27" s="1" t="s">
        <v>1946</v>
      </c>
      <c r="M27" s="1" t="s">
        <v>2642</v>
      </c>
      <c r="N27" s="1" t="s">
        <v>2643</v>
      </c>
      <c r="O27" s="1" t="s">
        <v>19</v>
      </c>
      <c r="P27" s="1">
        <v>2025</v>
      </c>
      <c r="Q27" s="1">
        <v>18</v>
      </c>
      <c r="R27" s="1">
        <v>8</v>
      </c>
      <c r="S27" s="1">
        <v>1945</v>
      </c>
      <c r="T27" s="1">
        <v>1961</v>
      </c>
      <c r="U27" s="1" t="s">
        <v>2644</v>
      </c>
      <c r="V27" s="1" t="str">
        <f>HYPERLINK("http://dx.doi.org/10.1007/s12273-025-1297-8","http://dx.doi.org/10.1007/s12273-025-1297-8")</f>
        <v>http://dx.doi.org/10.1007/s12273-025-1297-8</v>
      </c>
    </row>
    <row r="28" spans="1:22" x14ac:dyDescent="0.4">
      <c r="C28" s="1" t="s">
        <v>2758</v>
      </c>
      <c r="D28" s="1" t="s">
        <v>2759</v>
      </c>
      <c r="E28" s="1" t="s">
        <v>2760</v>
      </c>
      <c r="F28" s="1" t="s">
        <v>12</v>
      </c>
      <c r="G28" s="1" t="s">
        <v>262</v>
      </c>
      <c r="H28" s="1" t="s">
        <v>2761</v>
      </c>
      <c r="I28" s="1" t="s">
        <v>2762</v>
      </c>
      <c r="J28" s="1" t="s">
        <v>2763</v>
      </c>
      <c r="K28" s="1" t="s">
        <v>2764</v>
      </c>
      <c r="L28" s="1" t="s">
        <v>2765</v>
      </c>
      <c r="M28" s="1" t="s">
        <v>2766</v>
      </c>
      <c r="N28" s="1" t="s">
        <v>300</v>
      </c>
      <c r="O28" s="1" t="s">
        <v>22</v>
      </c>
      <c r="P28" s="1">
        <v>2025</v>
      </c>
      <c r="Q28" s="1">
        <v>18</v>
      </c>
      <c r="R28" s="1">
        <v>6</v>
      </c>
      <c r="S28" s="1">
        <v>1337</v>
      </c>
      <c r="T28" s="1">
        <v>1354</v>
      </c>
      <c r="U28" s="1" t="s">
        <v>2767</v>
      </c>
      <c r="V28" s="1" t="str">
        <f>HYPERLINK("http://dx.doi.org/10.1007/s12273-025-1266-2","http://dx.doi.org/10.1007/s12273-025-1266-2")</f>
        <v>http://dx.doi.org/10.1007/s12273-025-1266-2</v>
      </c>
    </row>
    <row r="29" spans="1:22" x14ac:dyDescent="0.4">
      <c r="C29" s="1" t="s">
        <v>2769</v>
      </c>
      <c r="D29" s="1" t="s">
        <v>2770</v>
      </c>
      <c r="E29" s="1" t="s">
        <v>2771</v>
      </c>
      <c r="F29" s="1" t="s">
        <v>12</v>
      </c>
      <c r="G29" s="1" t="s">
        <v>262</v>
      </c>
      <c r="H29" s="1" t="s">
        <v>2772</v>
      </c>
      <c r="I29" s="1" t="s">
        <v>2773</v>
      </c>
      <c r="J29" s="1" t="s">
        <v>2774</v>
      </c>
      <c r="K29" s="1" t="s">
        <v>2775</v>
      </c>
      <c r="L29" s="1" t="s">
        <v>2776</v>
      </c>
      <c r="M29" s="1" t="s">
        <v>2777</v>
      </c>
      <c r="N29" s="1" t="s">
        <v>2778</v>
      </c>
      <c r="O29" s="1" t="s">
        <v>20</v>
      </c>
      <c r="P29" s="1">
        <v>2025</v>
      </c>
      <c r="Q29" s="1">
        <v>18</v>
      </c>
      <c r="R29" s="1">
        <v>7</v>
      </c>
      <c r="S29" s="1">
        <v>1697</v>
      </c>
      <c r="T29" s="1">
        <v>1716</v>
      </c>
      <c r="U29" s="1" t="s">
        <v>2779</v>
      </c>
      <c r="V29" s="1" t="str">
        <f>HYPERLINK("http://dx.doi.org/10.1007/s12273-025-1288-9","http://dx.doi.org/10.1007/s12273-025-1288-9")</f>
        <v>http://dx.doi.org/10.1007/s12273-025-1288-9</v>
      </c>
    </row>
    <row r="30" spans="1:22" x14ac:dyDescent="0.4">
      <c r="C30" s="1" t="s">
        <v>2840</v>
      </c>
      <c r="D30" s="1" t="s">
        <v>2841</v>
      </c>
      <c r="E30" s="1" t="s">
        <v>2842</v>
      </c>
      <c r="F30" s="1" t="s">
        <v>12</v>
      </c>
      <c r="G30" s="1" t="s">
        <v>262</v>
      </c>
      <c r="H30" s="1" t="s">
        <v>2843</v>
      </c>
      <c r="I30" s="1" t="s">
        <v>2844</v>
      </c>
      <c r="J30" s="1" t="s">
        <v>2845</v>
      </c>
      <c r="K30" s="1" t="s">
        <v>2846</v>
      </c>
      <c r="L30" s="1" t="s">
        <v>2847</v>
      </c>
      <c r="M30" s="1" t="s">
        <v>2848</v>
      </c>
      <c r="N30" s="1" t="s">
        <v>852</v>
      </c>
      <c r="O30" s="1" t="s">
        <v>21</v>
      </c>
      <c r="P30" s="1">
        <v>2025</v>
      </c>
      <c r="Q30" s="1">
        <v>18</v>
      </c>
      <c r="R30" s="1">
        <v>5</v>
      </c>
      <c r="S30" s="1">
        <v>1205</v>
      </c>
      <c r="T30" s="1">
        <v>1228</v>
      </c>
      <c r="U30" s="1" t="s">
        <v>2849</v>
      </c>
      <c r="V30" s="1" t="str">
        <f>HYPERLINK("http://dx.doi.org/10.1007/s12273-025-1254-6","http://dx.doi.org/10.1007/s12273-025-1254-6")</f>
        <v>http://dx.doi.org/10.1007/s12273-025-1254-6</v>
      </c>
    </row>
    <row r="31" spans="1:22" x14ac:dyDescent="0.4">
      <c r="C31" s="1" t="s">
        <v>2863</v>
      </c>
      <c r="D31" s="1" t="s">
        <v>2864</v>
      </c>
      <c r="E31" s="1" t="s">
        <v>2865</v>
      </c>
      <c r="F31" s="1" t="s">
        <v>12</v>
      </c>
      <c r="G31" s="1" t="s">
        <v>262</v>
      </c>
      <c r="H31" s="1" t="s">
        <v>2866</v>
      </c>
      <c r="I31" s="1" t="s">
        <v>2867</v>
      </c>
      <c r="J31" s="1" t="s">
        <v>2868</v>
      </c>
      <c r="K31" s="1" t="s">
        <v>2869</v>
      </c>
      <c r="L31" s="1" t="s">
        <v>2870</v>
      </c>
      <c r="M31" s="1" t="s">
        <v>2871</v>
      </c>
      <c r="N31" s="1" t="s">
        <v>711</v>
      </c>
      <c r="O31" s="1" t="s">
        <v>21</v>
      </c>
      <c r="P31" s="1">
        <v>2025</v>
      </c>
      <c r="Q31" s="1">
        <v>18</v>
      </c>
      <c r="R31" s="1">
        <v>5</v>
      </c>
      <c r="S31" s="1">
        <v>1179</v>
      </c>
      <c r="T31" s="1">
        <v>1204</v>
      </c>
      <c r="U31" s="1" t="s">
        <v>2872</v>
      </c>
      <c r="V31" s="1" t="str">
        <f>HYPERLINK("http://dx.doi.org/10.1007/s12273-025-1253-7","http://dx.doi.org/10.1007/s12273-025-1253-7")</f>
        <v>http://dx.doi.org/10.1007/s12273-025-1253-7</v>
      </c>
    </row>
    <row r="32" spans="1:22" x14ac:dyDescent="0.4">
      <c r="C32" s="1" t="s">
        <v>2952</v>
      </c>
      <c r="D32" s="1" t="s">
        <v>2953</v>
      </c>
      <c r="E32" s="1" t="s">
        <v>2954</v>
      </c>
      <c r="F32" s="1" t="s">
        <v>12</v>
      </c>
      <c r="G32" s="1" t="s">
        <v>262</v>
      </c>
      <c r="H32" s="1" t="s">
        <v>2955</v>
      </c>
      <c r="I32" s="1" t="s">
        <v>2956</v>
      </c>
      <c r="J32" s="1" t="s">
        <v>2957</v>
      </c>
      <c r="K32" s="1" t="s">
        <v>2958</v>
      </c>
      <c r="L32" s="1" t="s">
        <v>2959</v>
      </c>
      <c r="M32" s="1" t="s">
        <v>2960</v>
      </c>
      <c r="N32" s="1" t="s">
        <v>2961</v>
      </c>
      <c r="O32" s="1" t="s">
        <v>20</v>
      </c>
      <c r="P32" s="1">
        <v>2025</v>
      </c>
      <c r="Q32" s="1">
        <v>18</v>
      </c>
      <c r="R32" s="1">
        <v>7</v>
      </c>
      <c r="S32" s="1">
        <v>1857</v>
      </c>
      <c r="T32" s="1">
        <v>1876</v>
      </c>
      <c r="U32" s="1" t="s">
        <v>2962</v>
      </c>
      <c r="V32" s="1" t="str">
        <f>HYPERLINK("http://dx.doi.org/10.1007/s12273-025-1275-1","http://dx.doi.org/10.1007/s12273-025-1275-1")</f>
        <v>http://dx.doi.org/10.1007/s12273-025-1275-1</v>
      </c>
    </row>
    <row r="33" spans="1:22" x14ac:dyDescent="0.4">
      <c r="C33" s="1" t="s">
        <v>3030</v>
      </c>
      <c r="D33" s="1" t="s">
        <v>3031</v>
      </c>
      <c r="E33" s="1" t="s">
        <v>3032</v>
      </c>
      <c r="F33" s="1" t="s">
        <v>12</v>
      </c>
      <c r="G33" s="1" t="s">
        <v>262</v>
      </c>
      <c r="H33" s="1" t="s">
        <v>3033</v>
      </c>
      <c r="I33" s="1" t="s">
        <v>3034</v>
      </c>
      <c r="J33" s="1" t="s">
        <v>3035</v>
      </c>
      <c r="K33" s="1" t="s">
        <v>3036</v>
      </c>
      <c r="L33" s="1" t="s">
        <v>1306</v>
      </c>
      <c r="M33" s="1" t="s">
        <v>3037</v>
      </c>
      <c r="N33" s="1" t="s">
        <v>2368</v>
      </c>
      <c r="O33" s="1" t="s">
        <v>22</v>
      </c>
      <c r="P33" s="1">
        <v>2025</v>
      </c>
      <c r="Q33" s="1">
        <v>18</v>
      </c>
      <c r="R33" s="1">
        <v>6</v>
      </c>
      <c r="S33" s="1">
        <v>1317</v>
      </c>
      <c r="T33" s="1">
        <v>1336</v>
      </c>
      <c r="U33" s="1" t="s">
        <v>3038</v>
      </c>
      <c r="V33" s="1" t="str">
        <f>HYPERLINK("http://dx.doi.org/10.1007/s12273-025-1264-4","http://dx.doi.org/10.1007/s12273-025-1264-4")</f>
        <v>http://dx.doi.org/10.1007/s12273-025-1264-4</v>
      </c>
    </row>
    <row r="34" spans="1:22" x14ac:dyDescent="0.4">
      <c r="C34" s="1" t="s">
        <v>3100</v>
      </c>
      <c r="D34" s="1" t="s">
        <v>3101</v>
      </c>
      <c r="E34" s="1" t="s">
        <v>3102</v>
      </c>
      <c r="F34" s="1" t="s">
        <v>12</v>
      </c>
      <c r="G34" s="1" t="s">
        <v>262</v>
      </c>
      <c r="H34" s="1" t="s">
        <v>3103</v>
      </c>
      <c r="I34" s="1" t="s">
        <v>3104</v>
      </c>
      <c r="J34" s="1" t="s">
        <v>3105</v>
      </c>
      <c r="K34" s="1" t="s">
        <v>3106</v>
      </c>
      <c r="L34" s="1" t="s">
        <v>3107</v>
      </c>
      <c r="M34" s="1" t="s">
        <v>3108</v>
      </c>
      <c r="N34" s="1" t="s">
        <v>3109</v>
      </c>
      <c r="O34" s="1" t="s">
        <v>21</v>
      </c>
      <c r="P34" s="1">
        <v>2025</v>
      </c>
      <c r="Q34" s="1">
        <v>18</v>
      </c>
      <c r="R34" s="1">
        <v>5</v>
      </c>
      <c r="S34" s="1">
        <v>1103</v>
      </c>
      <c r="T34" s="1">
        <v>1119</v>
      </c>
      <c r="U34" s="1" t="s">
        <v>3110</v>
      </c>
      <c r="V34" s="1" t="str">
        <f>HYPERLINK("http://dx.doi.org/10.1007/s12273-025-1257-3","http://dx.doi.org/10.1007/s12273-025-1257-3")</f>
        <v>http://dx.doi.org/10.1007/s12273-025-1257-3</v>
      </c>
    </row>
    <row r="35" spans="1:22" x14ac:dyDescent="0.4">
      <c r="C35" s="1" t="s">
        <v>3134</v>
      </c>
      <c r="D35" s="1" t="s">
        <v>3135</v>
      </c>
      <c r="E35" s="1" t="s">
        <v>3136</v>
      </c>
      <c r="F35" s="1" t="s">
        <v>12</v>
      </c>
      <c r="G35" s="1" t="s">
        <v>262</v>
      </c>
      <c r="H35" s="1" t="s">
        <v>3137</v>
      </c>
      <c r="I35" s="1" t="s">
        <v>3138</v>
      </c>
      <c r="J35" s="1" t="s">
        <v>3139</v>
      </c>
      <c r="K35" s="1" t="s">
        <v>3140</v>
      </c>
      <c r="L35" s="1" t="s">
        <v>1306</v>
      </c>
      <c r="M35" s="1" t="s">
        <v>3141</v>
      </c>
      <c r="N35" s="1" t="s">
        <v>3142</v>
      </c>
      <c r="O35" s="1" t="s">
        <v>23</v>
      </c>
      <c r="P35" s="1">
        <v>2025</v>
      </c>
      <c r="Q35" s="1">
        <v>18</v>
      </c>
      <c r="R35" s="1">
        <v>4</v>
      </c>
      <c r="S35" s="1">
        <v>765</v>
      </c>
      <c r="T35" s="1">
        <v>789</v>
      </c>
      <c r="U35" s="1" t="s">
        <v>3143</v>
      </c>
      <c r="V35" s="1" t="str">
        <f>HYPERLINK("http://dx.doi.org/10.1007/s12273-025-1233-y","http://dx.doi.org/10.1007/s12273-025-1233-y")</f>
        <v>http://dx.doi.org/10.1007/s12273-025-1233-y</v>
      </c>
    </row>
    <row r="36" spans="1:22" x14ac:dyDescent="0.4">
      <c r="C36" s="1" t="s">
        <v>3230</v>
      </c>
      <c r="D36" s="1" t="s">
        <v>3231</v>
      </c>
      <c r="E36" s="1" t="s">
        <v>3232</v>
      </c>
      <c r="F36" s="1" t="s">
        <v>12</v>
      </c>
      <c r="G36" s="1" t="s">
        <v>262</v>
      </c>
      <c r="H36" s="1" t="s">
        <v>3233</v>
      </c>
      <c r="I36" s="1" t="s">
        <v>3234</v>
      </c>
      <c r="J36" s="1" t="s">
        <v>3235</v>
      </c>
      <c r="K36" s="1" t="s">
        <v>3236</v>
      </c>
      <c r="L36" s="1" t="s">
        <v>3237</v>
      </c>
      <c r="M36" s="1" t="s">
        <v>3238</v>
      </c>
      <c r="N36" s="1" t="s">
        <v>3239</v>
      </c>
      <c r="O36" s="1" t="s">
        <v>23</v>
      </c>
      <c r="P36" s="1">
        <v>2025</v>
      </c>
      <c r="Q36" s="1">
        <v>18</v>
      </c>
      <c r="R36" s="1">
        <v>4</v>
      </c>
      <c r="S36" s="1">
        <v>881</v>
      </c>
      <c r="T36" s="1">
        <v>896</v>
      </c>
      <c r="U36" s="1" t="s">
        <v>3240</v>
      </c>
      <c r="V36" s="1" t="str">
        <f>HYPERLINK("http://dx.doi.org/10.1007/s12273-025-1231-0","http://dx.doi.org/10.1007/s12273-025-1231-0")</f>
        <v>http://dx.doi.org/10.1007/s12273-025-1231-0</v>
      </c>
    </row>
    <row r="37" spans="1:22" x14ac:dyDescent="0.4">
      <c r="C37" s="1" t="s">
        <v>3381</v>
      </c>
      <c r="D37" s="1" t="s">
        <v>3382</v>
      </c>
      <c r="E37" s="1" t="s">
        <v>3383</v>
      </c>
      <c r="F37" s="1" t="s">
        <v>12</v>
      </c>
      <c r="G37" s="1" t="s">
        <v>262</v>
      </c>
      <c r="H37" s="1" t="s">
        <v>3384</v>
      </c>
      <c r="I37" s="1" t="s">
        <v>3385</v>
      </c>
      <c r="J37" s="1" t="s">
        <v>3386</v>
      </c>
      <c r="K37" s="1" t="s">
        <v>3387</v>
      </c>
      <c r="L37" s="1" t="s">
        <v>439</v>
      </c>
      <c r="M37" s="1" t="s">
        <v>3388</v>
      </c>
      <c r="N37" s="1" t="s">
        <v>3389</v>
      </c>
      <c r="O37" s="1" t="s">
        <v>25</v>
      </c>
      <c r="P37" s="1">
        <v>2025</v>
      </c>
      <c r="Q37" s="1">
        <v>18</v>
      </c>
      <c r="R37" s="1">
        <v>3</v>
      </c>
      <c r="S37" s="1">
        <v>547</v>
      </c>
      <c r="T37" s="1">
        <v>567</v>
      </c>
      <c r="U37" s="1" t="s">
        <v>3390</v>
      </c>
      <c r="V37" s="1" t="str">
        <f>HYPERLINK("http://dx.doi.org/10.1007/s12273-024-1227-9","http://dx.doi.org/10.1007/s12273-024-1227-9")</f>
        <v>http://dx.doi.org/10.1007/s12273-024-1227-9</v>
      </c>
    </row>
    <row r="38" spans="1:22" x14ac:dyDescent="0.4">
      <c r="C38" s="1" t="s">
        <v>1724</v>
      </c>
      <c r="D38" s="1" t="s">
        <v>1725</v>
      </c>
      <c r="E38" s="1" t="s">
        <v>1726</v>
      </c>
      <c r="F38" s="1" t="s">
        <v>12</v>
      </c>
      <c r="G38" s="1" t="s">
        <v>262</v>
      </c>
      <c r="H38" s="1" t="s">
        <v>1727</v>
      </c>
      <c r="I38" s="1" t="s">
        <v>1728</v>
      </c>
      <c r="J38" s="1" t="s">
        <v>1729</v>
      </c>
      <c r="K38" s="1" t="s">
        <v>1730</v>
      </c>
      <c r="L38" s="1" t="s">
        <v>1731</v>
      </c>
      <c r="M38" s="1" t="s">
        <v>1732</v>
      </c>
      <c r="N38" s="1" t="s">
        <v>852</v>
      </c>
      <c r="O38" s="1" t="s">
        <v>25</v>
      </c>
      <c r="P38" s="1">
        <v>2025</v>
      </c>
      <c r="Q38" s="1">
        <v>18</v>
      </c>
      <c r="R38" s="1">
        <v>3</v>
      </c>
      <c r="S38" s="1">
        <v>473</v>
      </c>
      <c r="T38" s="1">
        <v>497</v>
      </c>
      <c r="U38" s="1" t="s">
        <v>1734</v>
      </c>
      <c r="V38" s="1" t="str">
        <f>HYPERLINK("http://dx.doi.org/10.1007/s12273-024-1196-4","http://dx.doi.org/10.1007/s12273-024-1196-4")</f>
        <v>http://dx.doi.org/10.1007/s12273-024-1196-4</v>
      </c>
    </row>
    <row r="39" spans="1:22" x14ac:dyDescent="0.4">
      <c r="C39" s="1" t="s">
        <v>1669</v>
      </c>
      <c r="D39" s="1" t="s">
        <v>1670</v>
      </c>
      <c r="E39" s="1" t="s">
        <v>1671</v>
      </c>
      <c r="F39" s="1" t="s">
        <v>12</v>
      </c>
      <c r="G39" s="1" t="s">
        <v>262</v>
      </c>
      <c r="H39" s="1" t="s">
        <v>1672</v>
      </c>
      <c r="I39" s="1" t="s">
        <v>1673</v>
      </c>
      <c r="J39" s="1" t="s">
        <v>1674</v>
      </c>
      <c r="K39" s="1" t="s">
        <v>1675</v>
      </c>
      <c r="L39" s="1" t="s">
        <v>1676</v>
      </c>
      <c r="M39" s="1" t="s">
        <v>1677</v>
      </c>
      <c r="N39" s="1" t="s">
        <v>1678</v>
      </c>
      <c r="O39" s="1" t="s">
        <v>26</v>
      </c>
      <c r="P39" s="1">
        <v>2025</v>
      </c>
      <c r="Q39" s="1">
        <v>18</v>
      </c>
      <c r="R39" s="1">
        <v>2</v>
      </c>
      <c r="S39" s="1">
        <v>295</v>
      </c>
      <c r="T39" s="1">
        <v>320</v>
      </c>
      <c r="U39" s="1" t="s">
        <v>1679</v>
      </c>
      <c r="V39" s="1" t="str">
        <f>HYPERLINK("http://dx.doi.org/10.1007/s12273-024-1208-4","http://dx.doi.org/10.1007/s12273-024-1208-4")</f>
        <v>http://dx.doi.org/10.1007/s12273-024-1208-4</v>
      </c>
    </row>
    <row r="40" spans="1:22" x14ac:dyDescent="0.4">
      <c r="C40" s="1" t="s">
        <v>1634</v>
      </c>
      <c r="D40" s="1" t="s">
        <v>1635</v>
      </c>
      <c r="E40" s="1" t="s">
        <v>1636</v>
      </c>
      <c r="F40" s="1" t="s">
        <v>12</v>
      </c>
      <c r="G40" s="1" t="s">
        <v>262</v>
      </c>
      <c r="H40" s="1" t="s">
        <v>1637</v>
      </c>
      <c r="I40" s="1" t="s">
        <v>1638</v>
      </c>
      <c r="J40" s="1" t="s">
        <v>1639</v>
      </c>
      <c r="K40" s="1" t="s">
        <v>1640</v>
      </c>
      <c r="L40" s="1" t="s">
        <v>1641</v>
      </c>
      <c r="M40" s="1" t="s">
        <v>1177</v>
      </c>
      <c r="N40" s="1" t="s">
        <v>1178</v>
      </c>
      <c r="O40" s="1" t="s">
        <v>24</v>
      </c>
      <c r="P40" s="1">
        <v>2025</v>
      </c>
      <c r="Q40" s="1">
        <v>18</v>
      </c>
      <c r="R40" s="1">
        <v>1</v>
      </c>
      <c r="S40" s="1">
        <v>207</v>
      </c>
      <c r="T40" s="1">
        <v>223</v>
      </c>
      <c r="U40" s="1" t="s">
        <v>1642</v>
      </c>
      <c r="V40" s="1" t="str">
        <f>HYPERLINK("http://dx.doi.org/10.1007/s12273-024-1211-9","http://dx.doi.org/10.1007/s12273-024-1211-9")</f>
        <v>http://dx.doi.org/10.1007/s12273-024-1211-9</v>
      </c>
    </row>
    <row r="41" spans="1:22" x14ac:dyDescent="0.4">
      <c r="C41" s="1" t="s">
        <v>3480</v>
      </c>
      <c r="D41" s="1" t="s">
        <v>3481</v>
      </c>
      <c r="E41" s="1" t="s">
        <v>3482</v>
      </c>
      <c r="F41" s="1" t="s">
        <v>12</v>
      </c>
      <c r="G41" s="1" t="s">
        <v>268</v>
      </c>
      <c r="H41" s="1" t="s">
        <v>3483</v>
      </c>
      <c r="I41" s="1" t="s">
        <v>3484</v>
      </c>
      <c r="J41" s="1" t="s">
        <v>3485</v>
      </c>
      <c r="K41" s="1" t="s">
        <v>3486</v>
      </c>
      <c r="L41" s="1" t="s">
        <v>392</v>
      </c>
      <c r="M41" s="1" t="s">
        <v>3487</v>
      </c>
      <c r="N41" s="1" t="s">
        <v>3488</v>
      </c>
      <c r="O41" s="1" t="s">
        <v>19</v>
      </c>
      <c r="P41" s="1">
        <v>2025</v>
      </c>
      <c r="Q41" s="1">
        <v>18</v>
      </c>
      <c r="R41" s="1">
        <v>8</v>
      </c>
      <c r="S41" s="1">
        <v>1903</v>
      </c>
      <c r="T41" s="1">
        <v>1907</v>
      </c>
      <c r="U41" s="1" t="s">
        <v>3489</v>
      </c>
      <c r="V41" s="1" t="str">
        <f>HYPERLINK("http://dx.doi.org/10.1007/s12273-025-1316-9","http://dx.doi.org/10.1007/s12273-025-1316-9")</f>
        <v>http://dx.doi.org/10.1007/s12273-025-1316-9</v>
      </c>
    </row>
    <row r="43" spans="1:22" ht="13.7" x14ac:dyDescent="0.5">
      <c r="A43" s="4" t="s">
        <v>37</v>
      </c>
      <c r="B43" s="10" t="s">
        <v>38</v>
      </c>
      <c r="E43" s="4"/>
      <c r="F43" s="10"/>
    </row>
    <row r="44" spans="1:22" x14ac:dyDescent="0.4">
      <c r="C44" s="1" t="s">
        <v>385</v>
      </c>
      <c r="D44" s="1" t="s">
        <v>386</v>
      </c>
      <c r="E44" s="1" t="s">
        <v>387</v>
      </c>
      <c r="F44" s="1" t="s">
        <v>12</v>
      </c>
      <c r="G44" s="1" t="s">
        <v>262</v>
      </c>
      <c r="H44" s="1" t="s">
        <v>388</v>
      </c>
      <c r="I44" s="1" t="s">
        <v>389</v>
      </c>
      <c r="J44" s="1" t="s">
        <v>390</v>
      </c>
      <c r="K44" s="1" t="s">
        <v>391</v>
      </c>
      <c r="L44" s="1" t="s">
        <v>392</v>
      </c>
      <c r="M44" s="1" t="s">
        <v>393</v>
      </c>
      <c r="N44" s="1" t="s">
        <v>394</v>
      </c>
      <c r="O44" s="1" t="s">
        <v>23</v>
      </c>
      <c r="P44" s="1">
        <v>2024</v>
      </c>
      <c r="Q44" s="1">
        <v>17</v>
      </c>
      <c r="R44" s="1">
        <v>4</v>
      </c>
      <c r="S44" s="1">
        <v>561</v>
      </c>
      <c r="T44" s="1">
        <v>574</v>
      </c>
      <c r="U44" s="1" t="s">
        <v>395</v>
      </c>
      <c r="V44" s="1" t="str">
        <f>HYPERLINK("http://dx.doi.org/10.1007/s12273-024-1106-9","http://dx.doi.org/10.1007/s12273-024-1106-9")</f>
        <v>http://dx.doi.org/10.1007/s12273-024-1106-9</v>
      </c>
    </row>
    <row r="45" spans="1:22" x14ac:dyDescent="0.4">
      <c r="C45" s="1" t="s">
        <v>2111</v>
      </c>
      <c r="D45" s="1" t="s">
        <v>2112</v>
      </c>
      <c r="E45" s="1" t="s">
        <v>2113</v>
      </c>
      <c r="F45" s="1" t="s">
        <v>12</v>
      </c>
      <c r="G45" s="1" t="s">
        <v>262</v>
      </c>
      <c r="H45" s="1" t="s">
        <v>2114</v>
      </c>
      <c r="I45" s="1" t="s">
        <v>2115</v>
      </c>
      <c r="J45" s="1" t="s">
        <v>2116</v>
      </c>
      <c r="K45" s="1" t="s">
        <v>2117</v>
      </c>
      <c r="L45" s="1" t="s">
        <v>2118</v>
      </c>
      <c r="M45" s="1" t="s">
        <v>2119</v>
      </c>
      <c r="N45" s="1" t="s">
        <v>302</v>
      </c>
      <c r="O45" s="1" t="s">
        <v>15</v>
      </c>
      <c r="P45" s="1">
        <v>2025</v>
      </c>
      <c r="Q45" s="1">
        <v>18</v>
      </c>
      <c r="R45" s="1">
        <v>10</v>
      </c>
      <c r="S45" s="1">
        <v>2559</v>
      </c>
      <c r="T45" s="1">
        <v>2576</v>
      </c>
      <c r="U45" s="1" t="s">
        <v>2120</v>
      </c>
      <c r="V45" s="1" t="str">
        <f>HYPERLINK("http://dx.doi.org/10.1007/s12273-025-1331-x","http://dx.doi.org/10.1007/s12273-025-1331-x")</f>
        <v>http://dx.doi.org/10.1007/s12273-025-1331-x</v>
      </c>
    </row>
    <row r="46" spans="1:22" x14ac:dyDescent="0.4">
      <c r="C46" s="1" t="s">
        <v>2348</v>
      </c>
      <c r="D46" s="1" t="s">
        <v>2349</v>
      </c>
      <c r="E46" s="1" t="s">
        <v>2350</v>
      </c>
      <c r="F46" s="1" t="s">
        <v>12</v>
      </c>
      <c r="G46" s="1" t="s">
        <v>262</v>
      </c>
      <c r="H46" s="1" t="s">
        <v>2351</v>
      </c>
      <c r="I46" s="1" t="s">
        <v>2352</v>
      </c>
      <c r="J46" s="1" t="s">
        <v>2353</v>
      </c>
      <c r="K46" s="1" t="s">
        <v>2354</v>
      </c>
      <c r="L46" s="1" t="s">
        <v>2355</v>
      </c>
      <c r="M46" s="1" t="s">
        <v>2356</v>
      </c>
      <c r="N46" s="1" t="s">
        <v>2357</v>
      </c>
      <c r="O46" s="1" t="s">
        <v>19</v>
      </c>
      <c r="P46" s="1">
        <v>2025</v>
      </c>
      <c r="Q46" s="1">
        <v>18</v>
      </c>
      <c r="R46" s="1">
        <v>8</v>
      </c>
      <c r="S46" s="1">
        <v>2151</v>
      </c>
      <c r="T46" s="1">
        <v>2174</v>
      </c>
      <c r="U46" s="1" t="s">
        <v>2358</v>
      </c>
      <c r="V46" s="1" t="str">
        <f>HYPERLINK("http://dx.doi.org/10.1007/s12273-025-1298-7","http://dx.doi.org/10.1007/s12273-025-1298-7")</f>
        <v>http://dx.doi.org/10.1007/s12273-025-1298-7</v>
      </c>
    </row>
    <row r="48" spans="1:22" ht="13.7" x14ac:dyDescent="0.5">
      <c r="A48" s="4" t="s">
        <v>39</v>
      </c>
      <c r="B48" s="10" t="s">
        <v>40</v>
      </c>
      <c r="E48" s="4"/>
      <c r="F48" s="10"/>
    </row>
    <row r="49" spans="1:22" x14ac:dyDescent="0.4">
      <c r="C49" s="1" t="s">
        <v>1927</v>
      </c>
      <c r="D49" s="1" t="s">
        <v>1928</v>
      </c>
      <c r="E49" s="1" t="s">
        <v>1929</v>
      </c>
      <c r="F49" s="1" t="s">
        <v>12</v>
      </c>
      <c r="G49" s="1" t="s">
        <v>262</v>
      </c>
      <c r="H49" s="1" t="s">
        <v>1930</v>
      </c>
      <c r="I49" s="1" t="s">
        <v>1931</v>
      </c>
      <c r="J49" s="1" t="s">
        <v>1932</v>
      </c>
      <c r="K49" s="1" t="s">
        <v>1933</v>
      </c>
      <c r="L49" s="1" t="s">
        <v>1934</v>
      </c>
      <c r="M49" s="1" t="s">
        <v>1935</v>
      </c>
      <c r="N49" s="1" t="s">
        <v>1936</v>
      </c>
      <c r="O49" s="1" t="s">
        <v>14</v>
      </c>
      <c r="P49" s="1">
        <v>2025</v>
      </c>
      <c r="Q49" s="1">
        <v>18</v>
      </c>
      <c r="R49" s="1">
        <v>11</v>
      </c>
      <c r="S49" s="1">
        <v>3045</v>
      </c>
      <c r="T49" s="1">
        <v>3067</v>
      </c>
      <c r="U49" s="1" t="s">
        <v>1937</v>
      </c>
      <c r="V49" s="1" t="str">
        <f>HYPERLINK("http://dx.doi.org/10.1007/s12273-025-1373-0","http://dx.doi.org/10.1007/s12273-025-1373-0")</f>
        <v>http://dx.doi.org/10.1007/s12273-025-1373-0</v>
      </c>
    </row>
    <row r="51" spans="1:22" x14ac:dyDescent="0.4">
      <c r="A51" s="10" t="s">
        <v>41</v>
      </c>
      <c r="B51" s="10" t="s">
        <v>42</v>
      </c>
      <c r="E51" s="10"/>
      <c r="F51" s="10"/>
    </row>
    <row r="52" spans="1:22" x14ac:dyDescent="0.4">
      <c r="C52" s="1" t="s">
        <v>444</v>
      </c>
      <c r="D52" s="1" t="s">
        <v>445</v>
      </c>
      <c r="E52" s="1" t="s">
        <v>446</v>
      </c>
      <c r="F52" s="1" t="s">
        <v>12</v>
      </c>
      <c r="G52" s="1" t="s">
        <v>262</v>
      </c>
      <c r="H52" s="1" t="s">
        <v>447</v>
      </c>
      <c r="I52" s="1" t="s">
        <v>448</v>
      </c>
      <c r="J52" s="1" t="s">
        <v>449</v>
      </c>
      <c r="K52" s="1" t="s">
        <v>450</v>
      </c>
      <c r="L52" s="1" t="s">
        <v>451</v>
      </c>
      <c r="M52" s="1" t="s">
        <v>452</v>
      </c>
      <c r="N52" s="1" t="s">
        <v>453</v>
      </c>
      <c r="O52" s="1" t="s">
        <v>23</v>
      </c>
      <c r="P52" s="1">
        <v>2024</v>
      </c>
      <c r="Q52" s="1">
        <v>17</v>
      </c>
      <c r="R52" s="1">
        <v>4</v>
      </c>
      <c r="S52" s="1">
        <v>639</v>
      </c>
      <c r="T52" s="1">
        <v>655</v>
      </c>
      <c r="U52" s="1" t="s">
        <v>454</v>
      </c>
      <c r="V52" s="1" t="str">
        <f>HYPERLINK("http://dx.doi.org/10.1007/s12273-023-1093-2","http://dx.doi.org/10.1007/s12273-023-1093-2")</f>
        <v>http://dx.doi.org/10.1007/s12273-023-1093-2</v>
      </c>
    </row>
    <row r="53" spans="1:22" x14ac:dyDescent="0.4">
      <c r="C53" s="1" t="s">
        <v>725</v>
      </c>
      <c r="D53" s="1" t="s">
        <v>726</v>
      </c>
      <c r="E53" s="1" t="s">
        <v>727</v>
      </c>
      <c r="F53" s="1" t="s">
        <v>12</v>
      </c>
      <c r="G53" s="1" t="s">
        <v>262</v>
      </c>
      <c r="H53" s="1" t="s">
        <v>728</v>
      </c>
      <c r="I53" s="1" t="s">
        <v>729</v>
      </c>
      <c r="J53" s="1" t="s">
        <v>730</v>
      </c>
      <c r="K53" s="1" t="s">
        <v>731</v>
      </c>
      <c r="L53" s="1" t="s">
        <v>732</v>
      </c>
      <c r="M53" s="1" t="s">
        <v>733</v>
      </c>
      <c r="N53" s="1" t="s">
        <v>734</v>
      </c>
      <c r="O53" s="1" t="s">
        <v>20</v>
      </c>
      <c r="P53" s="1">
        <v>2024</v>
      </c>
      <c r="Q53" s="1">
        <v>17</v>
      </c>
      <c r="R53" s="1">
        <v>7</v>
      </c>
      <c r="S53" s="1">
        <v>1085</v>
      </c>
      <c r="T53" s="1">
        <v>1111</v>
      </c>
      <c r="U53" s="1" t="s">
        <v>735</v>
      </c>
      <c r="V53" s="1" t="str">
        <f>HYPERLINK("http://dx.doi.org/10.1007/s12273-024-1123-8","http://dx.doi.org/10.1007/s12273-024-1123-8")</f>
        <v>http://dx.doi.org/10.1007/s12273-024-1123-8</v>
      </c>
    </row>
    <row r="54" spans="1:22" x14ac:dyDescent="0.4">
      <c r="C54" s="1" t="s">
        <v>795</v>
      </c>
      <c r="D54" s="1" t="s">
        <v>796</v>
      </c>
      <c r="E54" s="1" t="s">
        <v>797</v>
      </c>
      <c r="F54" s="1" t="s">
        <v>12</v>
      </c>
      <c r="G54" s="1" t="s">
        <v>262</v>
      </c>
      <c r="H54" s="1" t="s">
        <v>798</v>
      </c>
      <c r="I54" s="1" t="s">
        <v>799</v>
      </c>
      <c r="J54" s="1" t="s">
        <v>800</v>
      </c>
      <c r="K54" s="1" t="s">
        <v>801</v>
      </c>
      <c r="L54" s="1" t="s">
        <v>283</v>
      </c>
      <c r="M54" s="1" t="s">
        <v>802</v>
      </c>
      <c r="N54" s="1" t="s">
        <v>803</v>
      </c>
      <c r="O54" s="1" t="s">
        <v>20</v>
      </c>
      <c r="P54" s="1">
        <v>2024</v>
      </c>
      <c r="Q54" s="1">
        <v>17</v>
      </c>
      <c r="R54" s="1">
        <v>7</v>
      </c>
      <c r="S54" s="1">
        <v>1213</v>
      </c>
      <c r="T54" s="1">
        <v>1229</v>
      </c>
      <c r="U54" s="1" t="s">
        <v>804</v>
      </c>
      <c r="V54" s="1" t="str">
        <f>HYPERLINK("http://dx.doi.org/10.1007/s12273-024-1136-3","http://dx.doi.org/10.1007/s12273-024-1136-3")</f>
        <v>http://dx.doi.org/10.1007/s12273-024-1136-3</v>
      </c>
    </row>
    <row r="55" spans="1:22" x14ac:dyDescent="0.4">
      <c r="C55" s="1" t="s">
        <v>831</v>
      </c>
      <c r="D55" s="1" t="s">
        <v>832</v>
      </c>
      <c r="E55" s="1" t="s">
        <v>833</v>
      </c>
      <c r="F55" s="1" t="s">
        <v>12</v>
      </c>
      <c r="G55" s="1" t="s">
        <v>262</v>
      </c>
      <c r="H55" s="1" t="s">
        <v>834</v>
      </c>
      <c r="I55" s="1" t="s">
        <v>835</v>
      </c>
      <c r="J55" s="1" t="s">
        <v>836</v>
      </c>
      <c r="K55" s="1" t="s">
        <v>837</v>
      </c>
      <c r="L55" s="1" t="s">
        <v>838</v>
      </c>
      <c r="M55" s="1" t="s">
        <v>839</v>
      </c>
      <c r="N55" s="1" t="s">
        <v>840</v>
      </c>
      <c r="O55" s="1" t="s">
        <v>19</v>
      </c>
      <c r="P55" s="1">
        <v>2024</v>
      </c>
      <c r="Q55" s="1">
        <v>17</v>
      </c>
      <c r="R55" s="1">
        <v>8</v>
      </c>
      <c r="S55" s="1">
        <v>1273</v>
      </c>
      <c r="T55" s="1">
        <v>1287</v>
      </c>
      <c r="U55" s="1" t="s">
        <v>841</v>
      </c>
      <c r="V55" s="1" t="str">
        <f>HYPERLINK("http://dx.doi.org/10.1007/s12273-024-1138-1","http://dx.doi.org/10.1007/s12273-024-1138-1")</f>
        <v>http://dx.doi.org/10.1007/s12273-024-1138-1</v>
      </c>
    </row>
    <row r="56" spans="1:22" x14ac:dyDescent="0.4">
      <c r="C56" s="1" t="s">
        <v>1099</v>
      </c>
      <c r="D56" s="1" t="s">
        <v>1100</v>
      </c>
      <c r="E56" s="1" t="s">
        <v>1101</v>
      </c>
      <c r="F56" s="1" t="s">
        <v>12</v>
      </c>
      <c r="G56" s="1" t="s">
        <v>1080</v>
      </c>
      <c r="H56" s="1" t="s">
        <v>1102</v>
      </c>
      <c r="I56" s="1" t="s">
        <v>1103</v>
      </c>
      <c r="J56" s="1" t="s">
        <v>1104</v>
      </c>
      <c r="K56" s="1" t="s">
        <v>1105</v>
      </c>
      <c r="L56" s="1" t="s">
        <v>1106</v>
      </c>
      <c r="M56" s="1" t="s">
        <v>1107</v>
      </c>
      <c r="N56" s="1" t="s">
        <v>1108</v>
      </c>
      <c r="O56" s="1" t="s">
        <v>15</v>
      </c>
      <c r="P56" s="1">
        <v>2024</v>
      </c>
      <c r="Q56" s="1">
        <v>17</v>
      </c>
      <c r="R56" s="1">
        <v>10</v>
      </c>
      <c r="S56" s="1">
        <v>1693</v>
      </c>
      <c r="T56" s="1">
        <v>1708</v>
      </c>
      <c r="U56" s="1" t="s">
        <v>1109</v>
      </c>
      <c r="V56" s="1" t="str">
        <f>HYPERLINK("http://dx.doi.org/10.1007/s12273-024-1167-9","http://dx.doi.org/10.1007/s12273-024-1167-9")</f>
        <v>http://dx.doi.org/10.1007/s12273-024-1167-9</v>
      </c>
    </row>
    <row r="57" spans="1:22" x14ac:dyDescent="0.4">
      <c r="C57" s="1" t="s">
        <v>1598</v>
      </c>
      <c r="D57" s="1" t="s">
        <v>1599</v>
      </c>
      <c r="E57" s="1" t="s">
        <v>1600</v>
      </c>
      <c r="F57" s="1" t="s">
        <v>12</v>
      </c>
      <c r="G57" s="1" t="s">
        <v>1080</v>
      </c>
      <c r="H57" s="1" t="s">
        <v>1601</v>
      </c>
      <c r="I57" s="1" t="s">
        <v>1602</v>
      </c>
      <c r="J57" s="1" t="s">
        <v>1603</v>
      </c>
      <c r="K57" s="1" t="s">
        <v>1604</v>
      </c>
      <c r="L57" s="1" t="s">
        <v>1605</v>
      </c>
      <c r="M57" s="1" t="s">
        <v>1606</v>
      </c>
      <c r="N57" s="1" t="s">
        <v>1607</v>
      </c>
      <c r="O57" s="1" t="s">
        <v>1752</v>
      </c>
      <c r="P57" s="1">
        <v>2025</v>
      </c>
      <c r="Q57" s="1">
        <v>18</v>
      </c>
      <c r="R57" s="1">
        <v>1</v>
      </c>
      <c r="S57" s="1">
        <v>141</v>
      </c>
      <c r="T57" s="1">
        <v>159</v>
      </c>
      <c r="U57" s="1" t="s">
        <v>1608</v>
      </c>
      <c r="V57" s="1" t="str">
        <f>HYPERLINK("http://dx.doi.org/10.1007/s12273-024-1199-1","http://dx.doi.org/10.1007/s12273-024-1199-1")</f>
        <v>http://dx.doi.org/10.1007/s12273-024-1199-1</v>
      </c>
    </row>
    <row r="58" spans="1:22" x14ac:dyDescent="0.4">
      <c r="C58" s="1" t="s">
        <v>2056</v>
      </c>
      <c r="D58" s="1" t="s">
        <v>2057</v>
      </c>
      <c r="E58" s="1" t="s">
        <v>2058</v>
      </c>
      <c r="F58" s="1" t="s">
        <v>12</v>
      </c>
      <c r="G58" s="1" t="s">
        <v>262</v>
      </c>
      <c r="H58" s="1" t="s">
        <v>2059</v>
      </c>
      <c r="I58" s="1" t="s">
        <v>2060</v>
      </c>
      <c r="J58" s="1" t="s">
        <v>2061</v>
      </c>
      <c r="K58" s="1" t="s">
        <v>2062</v>
      </c>
      <c r="L58" s="1" t="s">
        <v>2063</v>
      </c>
      <c r="M58" s="1" t="s">
        <v>2064</v>
      </c>
      <c r="N58" s="1" t="s">
        <v>2065</v>
      </c>
      <c r="O58" s="1" t="s">
        <v>14</v>
      </c>
      <c r="P58" s="1">
        <v>2025</v>
      </c>
      <c r="Q58" s="1">
        <v>18</v>
      </c>
      <c r="R58" s="1">
        <v>11</v>
      </c>
      <c r="S58" s="1">
        <v>3119</v>
      </c>
      <c r="T58" s="1">
        <v>3132</v>
      </c>
      <c r="U58" s="1" t="s">
        <v>2066</v>
      </c>
      <c r="V58" s="1" t="str">
        <f>HYPERLINK("http://dx.doi.org/10.1007/s12273-025-1352-5","http://dx.doi.org/10.1007/s12273-025-1352-5")</f>
        <v>http://dx.doi.org/10.1007/s12273-025-1352-5</v>
      </c>
    </row>
    <row r="59" spans="1:22" x14ac:dyDescent="0.4">
      <c r="C59" s="1" t="s">
        <v>2145</v>
      </c>
      <c r="D59" s="1" t="s">
        <v>2146</v>
      </c>
      <c r="E59" s="1" t="s">
        <v>2147</v>
      </c>
      <c r="F59" s="1" t="s">
        <v>12</v>
      </c>
      <c r="G59" s="1" t="s">
        <v>262</v>
      </c>
      <c r="H59" s="1" t="s">
        <v>2148</v>
      </c>
      <c r="I59" s="1" t="s">
        <v>2149</v>
      </c>
      <c r="J59" s="1" t="s">
        <v>2150</v>
      </c>
      <c r="K59" s="1" t="s">
        <v>2151</v>
      </c>
      <c r="L59" s="1" t="s">
        <v>2152</v>
      </c>
      <c r="M59" s="1" t="s">
        <v>2153</v>
      </c>
      <c r="N59" s="1" t="s">
        <v>2154</v>
      </c>
      <c r="O59" s="1" t="s">
        <v>14</v>
      </c>
      <c r="P59" s="1">
        <v>2025</v>
      </c>
      <c r="Q59" s="1">
        <v>18</v>
      </c>
      <c r="R59" s="1">
        <v>11</v>
      </c>
      <c r="S59" s="1">
        <v>2945</v>
      </c>
      <c r="T59" s="1">
        <v>2962</v>
      </c>
      <c r="U59" s="1" t="s">
        <v>2155</v>
      </c>
      <c r="V59" s="1" t="str">
        <f>HYPERLINK("http://dx.doi.org/10.1007/s12273-025-1348-1","http://dx.doi.org/10.1007/s12273-025-1348-1")</f>
        <v>http://dx.doi.org/10.1007/s12273-025-1348-1</v>
      </c>
    </row>
    <row r="60" spans="1:22" x14ac:dyDescent="0.4">
      <c r="C60" s="1" t="s">
        <v>2253</v>
      </c>
      <c r="D60" s="1" t="s">
        <v>2254</v>
      </c>
      <c r="E60" s="1" t="s">
        <v>2255</v>
      </c>
      <c r="F60" s="1" t="s">
        <v>12</v>
      </c>
      <c r="G60" s="1" t="s">
        <v>262</v>
      </c>
      <c r="H60" s="1" t="s">
        <v>2256</v>
      </c>
      <c r="I60" s="1" t="s">
        <v>2257</v>
      </c>
      <c r="J60" s="1" t="s">
        <v>2258</v>
      </c>
      <c r="K60" s="1" t="s">
        <v>2259</v>
      </c>
      <c r="L60" s="1" t="s">
        <v>2260</v>
      </c>
      <c r="M60" s="1" t="s">
        <v>2261</v>
      </c>
      <c r="N60" s="1" t="s">
        <v>2262</v>
      </c>
      <c r="O60" s="1" t="s">
        <v>15</v>
      </c>
      <c r="P60" s="1">
        <v>2025</v>
      </c>
      <c r="Q60" s="1">
        <v>18</v>
      </c>
      <c r="R60" s="1">
        <v>10</v>
      </c>
      <c r="S60" s="1">
        <v>2577</v>
      </c>
      <c r="T60" s="1">
        <v>2600</v>
      </c>
      <c r="U60" s="1" t="s">
        <v>2263</v>
      </c>
      <c r="V60" s="1" t="str">
        <f>HYPERLINK("http://dx.doi.org/10.1007/s12273-025-1333-8","http://dx.doi.org/10.1007/s12273-025-1333-8")</f>
        <v>http://dx.doi.org/10.1007/s12273-025-1333-8</v>
      </c>
    </row>
    <row r="61" spans="1:22" x14ac:dyDescent="0.4">
      <c r="C61" s="1" t="s">
        <v>2709</v>
      </c>
      <c r="D61" s="1" t="s">
        <v>2710</v>
      </c>
      <c r="E61" s="1" t="s">
        <v>2711</v>
      </c>
      <c r="F61" s="1" t="s">
        <v>12</v>
      </c>
      <c r="G61" s="1" t="s">
        <v>262</v>
      </c>
      <c r="H61" s="1" t="s">
        <v>2712</v>
      </c>
      <c r="I61" s="1" t="s">
        <v>2713</v>
      </c>
      <c r="J61" s="1" t="s">
        <v>2714</v>
      </c>
      <c r="K61" s="1" t="s">
        <v>2715</v>
      </c>
      <c r="L61" s="1" t="s">
        <v>2716</v>
      </c>
      <c r="M61" s="1" t="s">
        <v>2717</v>
      </c>
      <c r="N61" s="1" t="s">
        <v>2718</v>
      </c>
      <c r="O61" s="1" t="s">
        <v>20</v>
      </c>
      <c r="P61" s="1">
        <v>2025</v>
      </c>
      <c r="Q61" s="1">
        <v>18</v>
      </c>
      <c r="R61" s="1">
        <v>7</v>
      </c>
      <c r="S61" s="1">
        <v>1877</v>
      </c>
      <c r="T61" s="1">
        <v>1901</v>
      </c>
      <c r="U61" s="1" t="s">
        <v>2719</v>
      </c>
      <c r="V61" s="1" t="str">
        <f>HYPERLINK("http://dx.doi.org/10.1007/s12273-025-1293-z","http://dx.doi.org/10.1007/s12273-025-1293-z")</f>
        <v>http://dx.doi.org/10.1007/s12273-025-1293-z</v>
      </c>
    </row>
    <row r="62" spans="1:22" x14ac:dyDescent="0.4">
      <c r="C62" s="1" t="s">
        <v>1598</v>
      </c>
      <c r="D62" s="1" t="s">
        <v>1599</v>
      </c>
      <c r="E62" s="1" t="s">
        <v>1600</v>
      </c>
      <c r="F62" s="1" t="s">
        <v>12</v>
      </c>
      <c r="G62" s="1" t="s">
        <v>262</v>
      </c>
      <c r="H62" s="1" t="s">
        <v>1601</v>
      </c>
      <c r="I62" s="1" t="s">
        <v>1602</v>
      </c>
      <c r="J62" s="1" t="s">
        <v>1603</v>
      </c>
      <c r="K62" s="1" t="s">
        <v>1604</v>
      </c>
      <c r="L62" s="1" t="s">
        <v>1605</v>
      </c>
      <c r="M62" s="1" t="s">
        <v>1606</v>
      </c>
      <c r="N62" s="1" t="s">
        <v>1607</v>
      </c>
      <c r="O62" s="1" t="s">
        <v>24</v>
      </c>
      <c r="P62" s="1">
        <v>2025</v>
      </c>
      <c r="Q62" s="1">
        <v>18</v>
      </c>
      <c r="R62" s="1">
        <v>1</v>
      </c>
      <c r="S62" s="1">
        <v>141</v>
      </c>
      <c r="T62" s="1">
        <v>159</v>
      </c>
      <c r="U62" s="1" t="s">
        <v>1608</v>
      </c>
      <c r="V62" s="1" t="str">
        <f>HYPERLINK("http://dx.doi.org/10.1007/s12273-024-1199-1","http://dx.doi.org/10.1007/s12273-024-1199-1")</f>
        <v>http://dx.doi.org/10.1007/s12273-024-1199-1</v>
      </c>
    </row>
    <row r="64" spans="1:22" ht="13.7" x14ac:dyDescent="0.5">
      <c r="A64" s="4" t="s">
        <v>43</v>
      </c>
      <c r="B64" s="10" t="s">
        <v>44</v>
      </c>
      <c r="E64" s="4"/>
      <c r="F64" s="10"/>
    </row>
    <row r="65" spans="1:22" x14ac:dyDescent="0.4">
      <c r="C65" s="1" t="s">
        <v>1370</v>
      </c>
      <c r="D65" s="1" t="s">
        <v>1371</v>
      </c>
      <c r="E65" s="1" t="s">
        <v>1372</v>
      </c>
      <c r="F65" s="1" t="s">
        <v>12</v>
      </c>
      <c r="G65" s="1" t="s">
        <v>262</v>
      </c>
      <c r="H65" s="1" t="s">
        <v>1373</v>
      </c>
      <c r="I65" s="1" t="s">
        <v>1374</v>
      </c>
      <c r="J65" s="1" t="s">
        <v>1375</v>
      </c>
      <c r="K65" s="1" t="s">
        <v>1376</v>
      </c>
      <c r="L65" s="1" t="s">
        <v>1377</v>
      </c>
      <c r="M65" s="1" t="s">
        <v>1378</v>
      </c>
      <c r="N65" s="1" t="s">
        <v>1379</v>
      </c>
      <c r="O65" s="1" t="s">
        <v>27</v>
      </c>
      <c r="P65" s="1">
        <v>2024</v>
      </c>
      <c r="Q65" s="1">
        <v>17</v>
      </c>
      <c r="R65" s="1">
        <v>12</v>
      </c>
      <c r="S65" s="1">
        <v>2145</v>
      </c>
      <c r="T65" s="1">
        <v>2161</v>
      </c>
      <c r="U65" s="1" t="s">
        <v>1380</v>
      </c>
      <c r="V65" s="1" t="str">
        <f>HYPERLINK("http://dx.doi.org/10.1007/s12273-024-1185-7","http://dx.doi.org/10.1007/s12273-024-1185-7")</f>
        <v>http://dx.doi.org/10.1007/s12273-024-1185-7</v>
      </c>
    </row>
    <row r="66" spans="1:22" x14ac:dyDescent="0.4">
      <c r="C66" s="1" t="s">
        <v>2301</v>
      </c>
      <c r="D66" s="1" t="s">
        <v>2302</v>
      </c>
      <c r="E66" s="1" t="s">
        <v>2303</v>
      </c>
      <c r="F66" s="1" t="s">
        <v>12</v>
      </c>
      <c r="G66" s="1" t="s">
        <v>262</v>
      </c>
      <c r="H66" s="1" t="s">
        <v>2304</v>
      </c>
      <c r="I66" s="1" t="s">
        <v>2305</v>
      </c>
      <c r="J66" s="1" t="s">
        <v>2306</v>
      </c>
      <c r="K66" s="1" t="s">
        <v>2307</v>
      </c>
      <c r="L66" s="1" t="s">
        <v>2308</v>
      </c>
      <c r="M66" s="1" t="s">
        <v>2309</v>
      </c>
      <c r="N66" s="1" t="s">
        <v>2310</v>
      </c>
      <c r="O66" s="1" t="s">
        <v>16</v>
      </c>
      <c r="P66" s="1">
        <v>2025</v>
      </c>
      <c r="Q66" s="1">
        <v>18</v>
      </c>
      <c r="R66" s="1">
        <v>9</v>
      </c>
      <c r="S66" s="1">
        <v>2365</v>
      </c>
      <c r="T66" s="1">
        <v>2380</v>
      </c>
      <c r="U66" s="1" t="s">
        <v>2311</v>
      </c>
      <c r="V66" s="1" t="str">
        <f>HYPERLINK("http://dx.doi.org/10.1007/s12273-025-1328-5","http://dx.doi.org/10.1007/s12273-025-1328-5")</f>
        <v>http://dx.doi.org/10.1007/s12273-025-1328-5</v>
      </c>
    </row>
    <row r="67" spans="1:22" x14ac:dyDescent="0.4">
      <c r="C67" s="1" t="s">
        <v>2745</v>
      </c>
      <c r="D67" s="1" t="s">
        <v>2746</v>
      </c>
      <c r="E67" s="1" t="s">
        <v>2747</v>
      </c>
      <c r="F67" s="1" t="s">
        <v>12</v>
      </c>
      <c r="G67" s="1" t="s">
        <v>262</v>
      </c>
      <c r="H67" s="1" t="s">
        <v>2748</v>
      </c>
      <c r="I67" s="1" t="s">
        <v>2749</v>
      </c>
      <c r="J67" s="1" t="s">
        <v>2750</v>
      </c>
      <c r="K67" s="1" t="s">
        <v>2751</v>
      </c>
      <c r="L67" s="1" t="s">
        <v>2752</v>
      </c>
      <c r="M67" s="1" t="s">
        <v>2753</v>
      </c>
      <c r="N67" s="1" t="s">
        <v>2754</v>
      </c>
      <c r="O67" s="1" t="s">
        <v>20</v>
      </c>
      <c r="P67" s="1">
        <v>2025</v>
      </c>
      <c r="Q67" s="1">
        <v>18</v>
      </c>
      <c r="R67" s="1">
        <v>7</v>
      </c>
      <c r="S67" s="1">
        <v>1761</v>
      </c>
      <c r="T67" s="1">
        <v>1783</v>
      </c>
      <c r="U67" s="1" t="s">
        <v>2755</v>
      </c>
      <c r="V67" s="1" t="str">
        <f>HYPERLINK("http://dx.doi.org/10.1007/s12273-025-1294-y","http://dx.doi.org/10.1007/s12273-025-1294-y")</f>
        <v>http://dx.doi.org/10.1007/s12273-025-1294-y</v>
      </c>
    </row>
    <row r="68" spans="1:22" x14ac:dyDescent="0.4">
      <c r="C68" s="1" t="s">
        <v>2917</v>
      </c>
      <c r="D68" s="1" t="s">
        <v>2918</v>
      </c>
      <c r="E68" s="1" t="s">
        <v>2919</v>
      </c>
      <c r="F68" s="1" t="s">
        <v>12</v>
      </c>
      <c r="G68" s="1" t="s">
        <v>262</v>
      </c>
      <c r="H68" s="1" t="s">
        <v>2920</v>
      </c>
      <c r="I68" s="1" t="s">
        <v>11</v>
      </c>
      <c r="J68" s="1" t="s">
        <v>2921</v>
      </c>
      <c r="K68" s="1" t="s">
        <v>2922</v>
      </c>
      <c r="L68" s="1" t="s">
        <v>2923</v>
      </c>
      <c r="M68" s="1" t="s">
        <v>2924</v>
      </c>
      <c r="N68" s="1" t="s">
        <v>2925</v>
      </c>
      <c r="O68" s="1" t="s">
        <v>22</v>
      </c>
      <c r="P68" s="1">
        <v>2025</v>
      </c>
      <c r="Q68" s="1">
        <v>18</v>
      </c>
      <c r="R68" s="1">
        <v>6</v>
      </c>
      <c r="S68" s="1">
        <v>1377</v>
      </c>
      <c r="T68" s="1">
        <v>1392</v>
      </c>
      <c r="U68" s="1" t="s">
        <v>2926</v>
      </c>
      <c r="V68" s="1" t="str">
        <f>HYPERLINK("http://dx.doi.org/10.1007/s12273-025-1271-5","http://dx.doi.org/10.1007/s12273-025-1271-5")</f>
        <v>http://dx.doi.org/10.1007/s12273-025-1271-5</v>
      </c>
    </row>
    <row r="70" spans="1:22" ht="13.7" x14ac:dyDescent="0.5">
      <c r="A70" s="4" t="s">
        <v>177</v>
      </c>
      <c r="B70" s="10" t="s">
        <v>176</v>
      </c>
      <c r="E70" s="4"/>
      <c r="F70" s="10"/>
    </row>
    <row r="72" spans="1:22" x14ac:dyDescent="0.4">
      <c r="C72" s="1" t="s">
        <v>1111</v>
      </c>
      <c r="D72" s="1" t="s">
        <v>1112</v>
      </c>
      <c r="E72" s="1" t="s">
        <v>1113</v>
      </c>
      <c r="F72" s="1" t="s">
        <v>12</v>
      </c>
      <c r="G72" s="1" t="s">
        <v>1080</v>
      </c>
      <c r="H72" s="1" t="s">
        <v>1114</v>
      </c>
      <c r="I72" s="1" t="s">
        <v>1115</v>
      </c>
      <c r="J72" s="1" t="s">
        <v>1116</v>
      </c>
      <c r="K72" s="1" t="s">
        <v>1117</v>
      </c>
      <c r="L72" s="1" t="s">
        <v>1118</v>
      </c>
      <c r="M72" s="1" t="s">
        <v>1119</v>
      </c>
      <c r="N72" s="1" t="s">
        <v>1120</v>
      </c>
      <c r="O72" s="1" t="s">
        <v>15</v>
      </c>
      <c r="P72" s="1">
        <v>2024</v>
      </c>
      <c r="Q72" s="1">
        <v>17</v>
      </c>
      <c r="R72" s="1">
        <v>10</v>
      </c>
      <c r="S72" s="1">
        <v>1709</v>
      </c>
      <c r="T72" s="1">
        <v>1730</v>
      </c>
      <c r="U72" s="1" t="s">
        <v>1121</v>
      </c>
      <c r="V72" s="1" t="str">
        <f>HYPERLINK("http://dx.doi.org/10.1007/s12273-024-1154-1","http://dx.doi.org/10.1007/s12273-024-1154-1")</f>
        <v>http://dx.doi.org/10.1007/s12273-024-1154-1</v>
      </c>
    </row>
    <row r="74" spans="1:22" ht="13.7" x14ac:dyDescent="0.5">
      <c r="A74" s="10" t="s">
        <v>45</v>
      </c>
      <c r="B74" s="10" t="s">
        <v>46</v>
      </c>
      <c r="E74" s="10"/>
      <c r="F74" s="10"/>
    </row>
    <row r="75" spans="1:22" x14ac:dyDescent="0.4">
      <c r="C75" s="1" t="s">
        <v>2464</v>
      </c>
      <c r="D75" s="1" t="s">
        <v>2465</v>
      </c>
      <c r="E75" s="1" t="s">
        <v>2466</v>
      </c>
      <c r="F75" s="1" t="s">
        <v>12</v>
      </c>
      <c r="G75" s="1" t="s">
        <v>262</v>
      </c>
      <c r="H75" s="1" t="s">
        <v>2467</v>
      </c>
      <c r="I75" s="1" t="s">
        <v>2468</v>
      </c>
      <c r="J75" s="1" t="s">
        <v>2469</v>
      </c>
      <c r="K75" s="1" t="s">
        <v>2470</v>
      </c>
      <c r="L75" s="1" t="s">
        <v>2471</v>
      </c>
      <c r="M75" s="1" t="s">
        <v>2472</v>
      </c>
      <c r="N75" s="1" t="s">
        <v>2473</v>
      </c>
      <c r="O75" s="1" t="s">
        <v>16</v>
      </c>
      <c r="P75" s="1">
        <v>2025</v>
      </c>
      <c r="Q75" s="1">
        <v>18</v>
      </c>
      <c r="R75" s="1">
        <v>9</v>
      </c>
      <c r="S75" s="1">
        <v>2435</v>
      </c>
      <c r="T75" s="1">
        <v>2458</v>
      </c>
      <c r="U75" s="1" t="s">
        <v>2474</v>
      </c>
      <c r="V75" s="1" t="str">
        <f>HYPERLINK("http://dx.doi.org/10.1007/s12273-025-1313-z","http://dx.doi.org/10.1007/s12273-025-1313-z")</f>
        <v>http://dx.doi.org/10.1007/s12273-025-1313-z</v>
      </c>
    </row>
    <row r="76" spans="1:22" ht="13.7" x14ac:dyDescent="0.5">
      <c r="A76" s="4" t="s">
        <v>47</v>
      </c>
      <c r="B76" s="10" t="s">
        <v>48</v>
      </c>
      <c r="E76" s="4"/>
      <c r="F76" s="10"/>
    </row>
    <row r="77" spans="1:22" x14ac:dyDescent="0.4">
      <c r="C77" s="1" t="s">
        <v>432</v>
      </c>
      <c r="D77" s="1" t="s">
        <v>433</v>
      </c>
      <c r="E77" s="1" t="s">
        <v>434</v>
      </c>
      <c r="F77" s="1" t="s">
        <v>12</v>
      </c>
      <c r="G77" s="1" t="s">
        <v>262</v>
      </c>
      <c r="H77" s="1" t="s">
        <v>435</v>
      </c>
      <c r="I77" s="1" t="s">
        <v>436</v>
      </c>
      <c r="J77" s="1" t="s">
        <v>437</v>
      </c>
      <c r="K77" s="1" t="s">
        <v>438</v>
      </c>
      <c r="L77" s="1" t="s">
        <v>439</v>
      </c>
      <c r="M77" s="1" t="s">
        <v>440</v>
      </c>
      <c r="N77" s="1" t="s">
        <v>441</v>
      </c>
      <c r="O77" s="1" t="s">
        <v>23</v>
      </c>
      <c r="P77" s="1">
        <v>2024</v>
      </c>
      <c r="Q77" s="1">
        <v>17</v>
      </c>
      <c r="R77" s="1">
        <v>4</v>
      </c>
      <c r="S77" s="1">
        <v>625</v>
      </c>
      <c r="T77" s="1">
        <v>638</v>
      </c>
      <c r="U77" s="1" t="s">
        <v>442</v>
      </c>
      <c r="V77" s="1" t="str">
        <f>HYPERLINK("http://dx.doi.org/10.1007/s12273-023-1087-0","http://dx.doi.org/10.1007/s12273-023-1087-0")</f>
        <v>http://dx.doi.org/10.1007/s12273-023-1087-0</v>
      </c>
    </row>
    <row r="78" spans="1:22" x14ac:dyDescent="0.4">
      <c r="C78" s="1" t="s">
        <v>923</v>
      </c>
      <c r="D78" s="1" t="s">
        <v>924</v>
      </c>
      <c r="E78" s="1" t="s">
        <v>925</v>
      </c>
      <c r="F78" s="1" t="s">
        <v>12</v>
      </c>
      <c r="G78" s="1" t="s">
        <v>262</v>
      </c>
      <c r="H78" s="1" t="s">
        <v>926</v>
      </c>
      <c r="I78" s="1" t="s">
        <v>18</v>
      </c>
      <c r="J78" s="1" t="s">
        <v>927</v>
      </c>
      <c r="K78" s="1" t="s">
        <v>928</v>
      </c>
      <c r="L78" s="1" t="s">
        <v>929</v>
      </c>
      <c r="M78" s="1" t="s">
        <v>930</v>
      </c>
      <c r="N78" s="1" t="s">
        <v>280</v>
      </c>
      <c r="O78" s="1" t="s">
        <v>19</v>
      </c>
      <c r="P78" s="1">
        <v>2024</v>
      </c>
      <c r="Q78" s="1">
        <v>17</v>
      </c>
      <c r="R78" s="1">
        <v>8</v>
      </c>
      <c r="S78" s="1">
        <v>1419</v>
      </c>
      <c r="T78" s="1">
        <v>1437</v>
      </c>
      <c r="U78" s="1" t="s">
        <v>931</v>
      </c>
      <c r="V78" s="1" t="str">
        <f>HYPERLINK("http://dx.doi.org/10.1007/s12273-024-1149-y","http://dx.doi.org/10.1007/s12273-024-1149-y")</f>
        <v>http://dx.doi.org/10.1007/s12273-024-1149-y</v>
      </c>
    </row>
    <row r="79" spans="1:22" x14ac:dyDescent="0.4">
      <c r="C79" s="1" t="s">
        <v>2032</v>
      </c>
      <c r="D79" s="1" t="s">
        <v>2033</v>
      </c>
      <c r="E79" s="1" t="s">
        <v>2034</v>
      </c>
      <c r="F79" s="1" t="s">
        <v>12</v>
      </c>
      <c r="G79" s="1" t="s">
        <v>262</v>
      </c>
      <c r="H79" s="1" t="s">
        <v>2035</v>
      </c>
      <c r="I79" s="1" t="s">
        <v>2036</v>
      </c>
      <c r="J79" s="1" t="s">
        <v>2037</v>
      </c>
      <c r="K79" s="1" t="s">
        <v>2038</v>
      </c>
      <c r="L79" s="1" t="s">
        <v>2039</v>
      </c>
      <c r="M79" s="1" t="s">
        <v>2040</v>
      </c>
      <c r="N79" s="1" t="s">
        <v>2041</v>
      </c>
      <c r="O79" s="1" t="s">
        <v>15</v>
      </c>
      <c r="P79" s="1">
        <v>2025</v>
      </c>
      <c r="Q79" s="1">
        <v>18</v>
      </c>
      <c r="R79" s="1">
        <v>10</v>
      </c>
      <c r="S79" s="1">
        <v>2825</v>
      </c>
      <c r="T79" s="1">
        <v>2847</v>
      </c>
      <c r="U79" s="1" t="s">
        <v>2042</v>
      </c>
      <c r="V79" s="1" t="str">
        <f>HYPERLINK("http://dx.doi.org/10.1007/s12273-025-1341-8","http://dx.doi.org/10.1007/s12273-025-1341-8")</f>
        <v>http://dx.doi.org/10.1007/s12273-025-1341-8</v>
      </c>
    </row>
    <row r="80" spans="1:22" x14ac:dyDescent="0.4">
      <c r="C80" s="1" t="s">
        <v>2554</v>
      </c>
      <c r="D80" s="1" t="s">
        <v>2555</v>
      </c>
      <c r="E80" s="1" t="s">
        <v>2556</v>
      </c>
      <c r="F80" s="1" t="s">
        <v>12</v>
      </c>
      <c r="G80" s="1" t="s">
        <v>262</v>
      </c>
      <c r="H80" s="1" t="s">
        <v>2557</v>
      </c>
      <c r="I80" s="1" t="s">
        <v>2558</v>
      </c>
      <c r="J80" s="1" t="s">
        <v>2559</v>
      </c>
      <c r="K80" s="1" t="s">
        <v>2560</v>
      </c>
      <c r="L80" s="1" t="s">
        <v>2561</v>
      </c>
      <c r="M80" s="1" t="s">
        <v>2562</v>
      </c>
      <c r="N80" s="1" t="s">
        <v>2563</v>
      </c>
      <c r="O80" s="1" t="s">
        <v>16</v>
      </c>
      <c r="P80" s="1">
        <v>2025</v>
      </c>
      <c r="Q80" s="1">
        <v>18</v>
      </c>
      <c r="R80" s="1">
        <v>9</v>
      </c>
      <c r="S80" s="1">
        <v>2475</v>
      </c>
      <c r="T80" s="1">
        <v>2490</v>
      </c>
      <c r="U80" s="1" t="s">
        <v>2564</v>
      </c>
      <c r="V80" s="1" t="str">
        <f>HYPERLINK("http://dx.doi.org/10.1007/s12273-025-1312-0","http://dx.doi.org/10.1007/s12273-025-1312-0")</f>
        <v>http://dx.doi.org/10.1007/s12273-025-1312-0</v>
      </c>
    </row>
    <row r="81" spans="1:22" x14ac:dyDescent="0.4">
      <c r="C81" s="1" t="s">
        <v>2964</v>
      </c>
      <c r="D81" s="1" t="s">
        <v>2965</v>
      </c>
      <c r="E81" s="1" t="s">
        <v>2966</v>
      </c>
      <c r="F81" s="1" t="s">
        <v>12</v>
      </c>
      <c r="G81" s="1" t="s">
        <v>262</v>
      </c>
      <c r="H81" s="1" t="s">
        <v>2967</v>
      </c>
      <c r="I81" s="1" t="s">
        <v>2968</v>
      </c>
      <c r="J81" s="1" t="s">
        <v>2969</v>
      </c>
      <c r="K81" s="1" t="s">
        <v>2970</v>
      </c>
      <c r="L81" s="1" t="s">
        <v>2971</v>
      </c>
      <c r="M81" s="1" t="s">
        <v>2972</v>
      </c>
      <c r="N81" s="1" t="s">
        <v>2973</v>
      </c>
      <c r="O81" s="1" t="s">
        <v>20</v>
      </c>
      <c r="P81" s="1">
        <v>2025</v>
      </c>
      <c r="Q81" s="1">
        <v>18</v>
      </c>
      <c r="R81" s="1">
        <v>7</v>
      </c>
      <c r="S81" s="1">
        <v>1837</v>
      </c>
      <c r="T81" s="1">
        <v>1856</v>
      </c>
      <c r="U81" s="1" t="s">
        <v>2974</v>
      </c>
      <c r="V81" s="1" t="str">
        <f>HYPERLINK("http://dx.doi.org/10.1007/s12273-025-1269-z","http://dx.doi.org/10.1007/s12273-025-1269-z")</f>
        <v>http://dx.doi.org/10.1007/s12273-025-1269-z</v>
      </c>
    </row>
    <row r="82" spans="1:22" x14ac:dyDescent="0.4">
      <c r="C82" s="1" t="s">
        <v>2976</v>
      </c>
      <c r="D82" s="1" t="s">
        <v>2977</v>
      </c>
      <c r="E82" s="1" t="s">
        <v>2978</v>
      </c>
      <c r="F82" s="1" t="s">
        <v>12</v>
      </c>
      <c r="G82" s="1" t="s">
        <v>262</v>
      </c>
      <c r="H82" s="1" t="s">
        <v>2979</v>
      </c>
      <c r="I82" s="1" t="s">
        <v>2980</v>
      </c>
      <c r="J82" s="1" t="s">
        <v>2981</v>
      </c>
      <c r="K82" s="1" t="s">
        <v>2982</v>
      </c>
      <c r="L82" s="1" t="s">
        <v>2983</v>
      </c>
      <c r="M82" s="1" t="s">
        <v>2984</v>
      </c>
      <c r="N82" s="1" t="s">
        <v>1817</v>
      </c>
      <c r="O82" s="1" t="s">
        <v>20</v>
      </c>
      <c r="P82" s="1">
        <v>2025</v>
      </c>
      <c r="Q82" s="1">
        <v>18</v>
      </c>
      <c r="R82" s="1">
        <v>7</v>
      </c>
      <c r="S82" s="1">
        <v>1641</v>
      </c>
      <c r="T82" s="1">
        <v>1657</v>
      </c>
      <c r="U82" s="1" t="s">
        <v>2985</v>
      </c>
      <c r="V82" s="1" t="str">
        <f>HYPERLINK("http://dx.doi.org/10.1007/s12273-025-1268-0","http://dx.doi.org/10.1007/s12273-025-1268-0")</f>
        <v>http://dx.doi.org/10.1007/s12273-025-1268-0</v>
      </c>
    </row>
    <row r="83" spans="1:22" x14ac:dyDescent="0.4">
      <c r="C83" s="1" t="s">
        <v>1681</v>
      </c>
      <c r="D83" s="1" t="s">
        <v>1682</v>
      </c>
      <c r="E83" s="1" t="s">
        <v>1683</v>
      </c>
      <c r="F83" s="1" t="s">
        <v>12</v>
      </c>
      <c r="G83" s="1" t="s">
        <v>262</v>
      </c>
      <c r="H83" s="1" t="s">
        <v>1684</v>
      </c>
      <c r="I83" s="1" t="s">
        <v>1685</v>
      </c>
      <c r="J83" s="1" t="s">
        <v>1686</v>
      </c>
      <c r="K83" s="1" t="s">
        <v>1687</v>
      </c>
      <c r="L83" s="1" t="s">
        <v>3448</v>
      </c>
      <c r="M83" s="1" t="s">
        <v>930</v>
      </c>
      <c r="N83" s="1" t="s">
        <v>280</v>
      </c>
      <c r="O83" s="1" t="s">
        <v>26</v>
      </c>
      <c r="P83" s="1">
        <v>2025</v>
      </c>
      <c r="Q83" s="1">
        <v>18</v>
      </c>
      <c r="R83" s="1">
        <v>2</v>
      </c>
      <c r="S83" s="1">
        <v>321</v>
      </c>
      <c r="T83" s="1">
        <v>337</v>
      </c>
      <c r="U83" s="1" t="s">
        <v>1689</v>
      </c>
      <c r="V83" s="1" t="str">
        <f>HYPERLINK("http://dx.doi.org/10.1007/s12273-024-1212-8","http://dx.doi.org/10.1007/s12273-024-1212-8")</f>
        <v>http://dx.doi.org/10.1007/s12273-024-1212-8</v>
      </c>
    </row>
    <row r="84" spans="1:22" x14ac:dyDescent="0.4">
      <c r="C84" s="1" t="s">
        <v>1644</v>
      </c>
      <c r="D84" s="1" t="s">
        <v>1645</v>
      </c>
      <c r="E84" s="1" t="s">
        <v>1646</v>
      </c>
      <c r="F84" s="1" t="s">
        <v>12</v>
      </c>
      <c r="G84" s="1" t="s">
        <v>262</v>
      </c>
      <c r="H84" s="1" t="s">
        <v>1647</v>
      </c>
      <c r="I84" s="1" t="s">
        <v>1648</v>
      </c>
      <c r="J84" s="1" t="s">
        <v>1649</v>
      </c>
      <c r="K84" s="1" t="s">
        <v>1650</v>
      </c>
      <c r="L84" s="1" t="s">
        <v>1651</v>
      </c>
      <c r="M84" s="1" t="s">
        <v>1652</v>
      </c>
      <c r="N84" s="1" t="s">
        <v>1653</v>
      </c>
      <c r="O84" s="1" t="s">
        <v>26</v>
      </c>
      <c r="P84" s="1">
        <v>2025</v>
      </c>
      <c r="Q84" s="1">
        <v>18</v>
      </c>
      <c r="R84" s="1">
        <v>2</v>
      </c>
      <c r="S84" s="1">
        <v>235</v>
      </c>
      <c r="T84" s="1">
        <v>258</v>
      </c>
      <c r="U84" s="1" t="s">
        <v>1655</v>
      </c>
      <c r="V84" s="1" t="str">
        <f>HYPERLINK("http://dx.doi.org/10.1007/s12273-024-1203-9","http://dx.doi.org/10.1007/s12273-024-1203-9")</f>
        <v>http://dx.doi.org/10.1007/s12273-024-1203-9</v>
      </c>
    </row>
    <row r="86" spans="1:22" x14ac:dyDescent="0.4">
      <c r="A86" s="10" t="s">
        <v>49</v>
      </c>
      <c r="B86" s="10" t="s">
        <v>50</v>
      </c>
      <c r="E86" s="10"/>
      <c r="F86" s="10"/>
    </row>
    <row r="87" spans="1:22" x14ac:dyDescent="0.4">
      <c r="C87" s="1" t="s">
        <v>933</v>
      </c>
      <c r="D87" s="1" t="s">
        <v>934</v>
      </c>
      <c r="E87" s="1" t="s">
        <v>935</v>
      </c>
      <c r="F87" s="1" t="s">
        <v>12</v>
      </c>
      <c r="G87" s="1" t="s">
        <v>262</v>
      </c>
      <c r="H87" s="1" t="s">
        <v>936</v>
      </c>
      <c r="I87" s="1" t="s">
        <v>937</v>
      </c>
      <c r="J87" s="1" t="s">
        <v>938</v>
      </c>
      <c r="K87" s="1" t="s">
        <v>939</v>
      </c>
      <c r="L87" s="1" t="s">
        <v>319</v>
      </c>
      <c r="M87" s="1" t="s">
        <v>940</v>
      </c>
      <c r="N87" s="1" t="s">
        <v>941</v>
      </c>
      <c r="O87" s="1" t="s">
        <v>16</v>
      </c>
      <c r="P87" s="1">
        <v>2024</v>
      </c>
      <c r="Q87" s="1">
        <v>17</v>
      </c>
      <c r="R87" s="1">
        <v>9</v>
      </c>
      <c r="S87" s="1">
        <v>1439</v>
      </c>
      <c r="T87" s="1">
        <v>1460</v>
      </c>
      <c r="U87" s="1" t="s">
        <v>942</v>
      </c>
      <c r="V87" s="1" t="str">
        <f>HYPERLINK("http://dx.doi.org/10.1007/s12273-024-1152-3","http://dx.doi.org/10.1007/s12273-024-1152-3")</f>
        <v>http://dx.doi.org/10.1007/s12273-024-1152-3</v>
      </c>
    </row>
    <row r="88" spans="1:22" x14ac:dyDescent="0.4">
      <c r="C88" s="1" t="s">
        <v>1808</v>
      </c>
      <c r="D88" s="1" t="s">
        <v>1809</v>
      </c>
      <c r="E88" s="1" t="s">
        <v>1810</v>
      </c>
      <c r="F88" s="1" t="s">
        <v>12</v>
      </c>
      <c r="G88" s="1" t="s">
        <v>262</v>
      </c>
      <c r="H88" s="1" t="s">
        <v>1811</v>
      </c>
      <c r="I88" s="1" t="s">
        <v>1812</v>
      </c>
      <c r="J88" s="1" t="s">
        <v>1813</v>
      </c>
      <c r="K88" s="1" t="s">
        <v>1814</v>
      </c>
      <c r="L88" s="1" t="s">
        <v>1815</v>
      </c>
      <c r="M88" s="1" t="s">
        <v>1816</v>
      </c>
      <c r="N88" s="1" t="s">
        <v>1817</v>
      </c>
      <c r="O88" s="1" t="s">
        <v>27</v>
      </c>
      <c r="P88" s="1">
        <v>2025</v>
      </c>
      <c r="Q88" s="1">
        <v>18</v>
      </c>
      <c r="R88" s="1">
        <v>12</v>
      </c>
      <c r="S88" s="1">
        <v>3317</v>
      </c>
      <c r="T88" s="1">
        <v>3335</v>
      </c>
      <c r="U88" s="1" t="s">
        <v>1818</v>
      </c>
      <c r="V88" s="1" t="str">
        <f>HYPERLINK("http://dx.doi.org/10.1007/s12273-025-1367-y","http://dx.doi.org/10.1007/s12273-025-1367-y")</f>
        <v>http://dx.doi.org/10.1007/s12273-025-1367-y</v>
      </c>
    </row>
    <row r="90" spans="1:22" ht="13" x14ac:dyDescent="0.4">
      <c r="A90" s="10" t="s">
        <v>181</v>
      </c>
      <c r="B90" s="10" t="s">
        <v>182</v>
      </c>
      <c r="E90" s="11"/>
    </row>
    <row r="91" spans="1:22" x14ac:dyDescent="0.4">
      <c r="C91" s="1" t="s">
        <v>2111</v>
      </c>
      <c r="D91" s="1" t="s">
        <v>2112</v>
      </c>
      <c r="E91" s="1" t="s">
        <v>2113</v>
      </c>
      <c r="F91" s="1" t="s">
        <v>12</v>
      </c>
      <c r="G91" s="1" t="s">
        <v>262</v>
      </c>
      <c r="H91" s="1" t="s">
        <v>2114</v>
      </c>
      <c r="I91" s="1" t="s">
        <v>2115</v>
      </c>
      <c r="J91" s="1" t="s">
        <v>2116</v>
      </c>
      <c r="K91" s="1" t="s">
        <v>2117</v>
      </c>
      <c r="L91" s="1" t="s">
        <v>2118</v>
      </c>
      <c r="M91" s="1" t="s">
        <v>2119</v>
      </c>
      <c r="N91" s="1" t="s">
        <v>302</v>
      </c>
      <c r="O91" s="1" t="s">
        <v>15</v>
      </c>
      <c r="P91" s="1">
        <v>2025</v>
      </c>
      <c r="Q91" s="1">
        <v>18</v>
      </c>
      <c r="R91" s="1">
        <v>10</v>
      </c>
      <c r="S91" s="1">
        <v>2559</v>
      </c>
      <c r="T91" s="1">
        <v>2576</v>
      </c>
      <c r="U91" s="1" t="s">
        <v>2120</v>
      </c>
      <c r="V91" s="1" t="str">
        <f>HYPERLINK("http://dx.doi.org/10.1007/s12273-025-1331-x","http://dx.doi.org/10.1007/s12273-025-1331-x")</f>
        <v>http://dx.doi.org/10.1007/s12273-025-1331-x</v>
      </c>
    </row>
    <row r="92" spans="1:22" x14ac:dyDescent="0.4">
      <c r="C92" s="1" t="s">
        <v>2917</v>
      </c>
      <c r="D92" s="1" t="s">
        <v>2918</v>
      </c>
      <c r="E92" s="1" t="s">
        <v>2919</v>
      </c>
      <c r="F92" s="1" t="s">
        <v>12</v>
      </c>
      <c r="G92" s="1" t="s">
        <v>262</v>
      </c>
      <c r="H92" s="1" t="s">
        <v>2920</v>
      </c>
      <c r="I92" s="1" t="s">
        <v>11</v>
      </c>
      <c r="J92" s="1" t="s">
        <v>2921</v>
      </c>
      <c r="K92" s="1" t="s">
        <v>2922</v>
      </c>
      <c r="L92" s="1" t="s">
        <v>2923</v>
      </c>
      <c r="M92" s="1" t="s">
        <v>2924</v>
      </c>
      <c r="N92" s="1" t="s">
        <v>2925</v>
      </c>
      <c r="O92" s="1" t="s">
        <v>22</v>
      </c>
      <c r="P92" s="1">
        <v>2025</v>
      </c>
      <c r="Q92" s="1">
        <v>18</v>
      </c>
      <c r="R92" s="1">
        <v>6</v>
      </c>
      <c r="S92" s="1">
        <v>1377</v>
      </c>
      <c r="T92" s="1">
        <v>1392</v>
      </c>
      <c r="U92" s="1" t="s">
        <v>2926</v>
      </c>
      <c r="V92" s="1" t="str">
        <f>HYPERLINK("http://dx.doi.org/10.1007/s12273-025-1271-5","http://dx.doi.org/10.1007/s12273-025-1271-5")</f>
        <v>http://dx.doi.org/10.1007/s12273-025-1271-5</v>
      </c>
    </row>
    <row r="93" spans="1:22" x14ac:dyDescent="0.4">
      <c r="C93" s="1" t="s">
        <v>1262</v>
      </c>
      <c r="D93" s="1" t="s">
        <v>1263</v>
      </c>
      <c r="E93" s="1" t="s">
        <v>1264</v>
      </c>
      <c r="F93" s="1" t="s">
        <v>12</v>
      </c>
      <c r="G93" s="1" t="s">
        <v>262</v>
      </c>
      <c r="H93" s="1" t="s">
        <v>1265</v>
      </c>
      <c r="I93" s="1" t="s">
        <v>1266</v>
      </c>
      <c r="J93" s="1" t="s">
        <v>1267</v>
      </c>
      <c r="K93" s="1" t="s">
        <v>1268</v>
      </c>
      <c r="L93" s="1" t="s">
        <v>1269</v>
      </c>
      <c r="M93" s="1" t="s">
        <v>1270</v>
      </c>
      <c r="N93" s="1" t="s">
        <v>1271</v>
      </c>
      <c r="O93" s="1" t="s">
        <v>14</v>
      </c>
      <c r="P93" s="1">
        <v>2024</v>
      </c>
      <c r="Q93" s="1">
        <v>17</v>
      </c>
      <c r="R93" s="1">
        <v>11</v>
      </c>
      <c r="S93" s="1">
        <v>1971</v>
      </c>
      <c r="T93" s="1">
        <v>1987</v>
      </c>
      <c r="U93" s="1" t="s">
        <v>1272</v>
      </c>
      <c r="V93" s="1" t="str">
        <f>HYPERLINK("http://dx.doi.org/10.1007/s12273-024-1177-7","http://dx.doi.org/10.1007/s12273-024-1177-7")</f>
        <v>http://dx.doi.org/10.1007/s12273-024-1177-7</v>
      </c>
    </row>
    <row r="94" spans="1:22" x14ac:dyDescent="0.4">
      <c r="C94" s="1" t="s">
        <v>1414</v>
      </c>
      <c r="D94" s="1" t="s">
        <v>1415</v>
      </c>
      <c r="E94" s="1" t="s">
        <v>1416</v>
      </c>
      <c r="F94" s="1" t="s">
        <v>12</v>
      </c>
      <c r="G94" s="1" t="s">
        <v>262</v>
      </c>
      <c r="H94" s="1" t="s">
        <v>1417</v>
      </c>
      <c r="I94" s="1" t="s">
        <v>1418</v>
      </c>
      <c r="J94" s="1" t="s">
        <v>1419</v>
      </c>
      <c r="K94" s="1" t="s">
        <v>1420</v>
      </c>
      <c r="L94" s="1" t="s">
        <v>1421</v>
      </c>
      <c r="M94" s="1" t="s">
        <v>1422</v>
      </c>
      <c r="N94" s="1" t="s">
        <v>1423</v>
      </c>
      <c r="O94" s="1" t="s">
        <v>27</v>
      </c>
      <c r="P94" s="1">
        <v>2024</v>
      </c>
      <c r="Q94" s="1">
        <v>17</v>
      </c>
      <c r="R94" s="1">
        <v>12</v>
      </c>
      <c r="S94" s="1">
        <v>2213</v>
      </c>
      <c r="T94" s="1">
        <v>2232</v>
      </c>
      <c r="U94" s="1" t="s">
        <v>1424</v>
      </c>
      <c r="V94" s="1" t="str">
        <f>HYPERLINK("http://dx.doi.org/10.1007/s12273-024-1202-x","http://dx.doi.org/10.1007/s12273-024-1202-x")</f>
        <v>http://dx.doi.org/10.1007/s12273-024-1202-x</v>
      </c>
    </row>
    <row r="95" spans="1:22" ht="13" x14ac:dyDescent="0.4">
      <c r="A95" s="10" t="s">
        <v>183</v>
      </c>
      <c r="B95" s="10" t="s">
        <v>184</v>
      </c>
      <c r="E95" s="11"/>
    </row>
    <row r="97" spans="1:22" x14ac:dyDescent="0.4">
      <c r="A97" s="10" t="s">
        <v>3577</v>
      </c>
      <c r="B97" s="10" t="s">
        <v>3582</v>
      </c>
    </row>
    <row r="98" spans="1:22" x14ac:dyDescent="0.4">
      <c r="C98" s="1" t="s">
        <v>1691</v>
      </c>
      <c r="D98" s="1" t="s">
        <v>1692</v>
      </c>
      <c r="E98" s="1" t="s">
        <v>1693</v>
      </c>
      <c r="F98" s="1" t="s">
        <v>12</v>
      </c>
      <c r="G98" s="1" t="s">
        <v>262</v>
      </c>
      <c r="H98" s="1" t="s">
        <v>1694</v>
      </c>
      <c r="I98" s="1" t="s">
        <v>11</v>
      </c>
      <c r="J98" s="1" t="s">
        <v>1695</v>
      </c>
      <c r="K98" s="1" t="s">
        <v>1696</v>
      </c>
      <c r="L98" s="1" t="s">
        <v>1641</v>
      </c>
      <c r="M98" s="1" t="s">
        <v>1697</v>
      </c>
      <c r="N98" s="1" t="s">
        <v>1698</v>
      </c>
      <c r="O98" s="1" t="s">
        <v>26</v>
      </c>
      <c r="P98" s="1">
        <v>2025</v>
      </c>
      <c r="Q98" s="1">
        <v>18</v>
      </c>
      <c r="R98" s="1">
        <v>2</v>
      </c>
      <c r="S98" s="1">
        <v>353</v>
      </c>
      <c r="T98" s="1">
        <v>370</v>
      </c>
      <c r="U98" s="1" t="s">
        <v>1699</v>
      </c>
      <c r="V98" s="1" t="str">
        <f>HYPERLINK("http://dx.doi.org/10.1007/s12273-024-1220-8","http://dx.doi.org/10.1007/s12273-024-1220-8")</f>
        <v>http://dx.doi.org/10.1007/s12273-024-1220-8</v>
      </c>
    </row>
  </sheetData>
  <phoneticPr fontId="2" type="noConversion"/>
  <conditionalFormatting sqref="U1">
    <cfRule type="duplicateValues" dxfId="509" priority="50" stopIfTrue="1"/>
  </conditionalFormatting>
  <conditionalFormatting sqref="U3:U4">
    <cfRule type="duplicateValues" dxfId="508" priority="21" stopIfTrue="1"/>
  </conditionalFormatting>
  <conditionalFormatting sqref="U6">
    <cfRule type="duplicateValues" dxfId="507" priority="72" stopIfTrue="1"/>
  </conditionalFormatting>
  <conditionalFormatting sqref="U7">
    <cfRule type="duplicateValues" dxfId="506" priority="62" stopIfTrue="1"/>
  </conditionalFormatting>
  <conditionalFormatting sqref="U8">
    <cfRule type="duplicateValues" dxfId="505" priority="61" stopIfTrue="1"/>
  </conditionalFormatting>
  <conditionalFormatting sqref="U9">
    <cfRule type="duplicateValues" dxfId="504" priority="60" stopIfTrue="1"/>
  </conditionalFormatting>
  <conditionalFormatting sqref="U10">
    <cfRule type="duplicateValues" dxfId="503" priority="55" stopIfTrue="1"/>
  </conditionalFormatting>
  <conditionalFormatting sqref="U11">
    <cfRule type="duplicateValues" dxfId="502" priority="53" stopIfTrue="1"/>
  </conditionalFormatting>
  <conditionalFormatting sqref="U12">
    <cfRule type="duplicateValues" dxfId="501" priority="30" stopIfTrue="1"/>
  </conditionalFormatting>
  <conditionalFormatting sqref="U13">
    <cfRule type="duplicateValues" dxfId="500" priority="22" stopIfTrue="1"/>
  </conditionalFormatting>
  <conditionalFormatting sqref="U14">
    <cfRule type="duplicateValues" dxfId="499" priority="18" stopIfTrue="1"/>
  </conditionalFormatting>
  <conditionalFormatting sqref="U15">
    <cfRule type="duplicateValues" dxfId="498" priority="14" stopIfTrue="1"/>
  </conditionalFormatting>
  <conditionalFormatting sqref="U16:U17">
    <cfRule type="duplicateValues" dxfId="497" priority="3" stopIfTrue="1"/>
  </conditionalFormatting>
  <conditionalFormatting sqref="U19">
    <cfRule type="duplicateValues" dxfId="496" priority="65" stopIfTrue="1"/>
  </conditionalFormatting>
  <conditionalFormatting sqref="U20">
    <cfRule type="duplicateValues" dxfId="495" priority="48" stopIfTrue="1"/>
  </conditionalFormatting>
  <conditionalFormatting sqref="U21">
    <cfRule type="duplicateValues" dxfId="494" priority="51" stopIfTrue="1"/>
  </conditionalFormatting>
  <conditionalFormatting sqref="U22">
    <cfRule type="duplicateValues" dxfId="493" priority="46" stopIfTrue="1"/>
  </conditionalFormatting>
  <conditionalFormatting sqref="U23">
    <cfRule type="duplicateValues" dxfId="492" priority="40" stopIfTrue="1"/>
  </conditionalFormatting>
  <conditionalFormatting sqref="U24">
    <cfRule type="duplicateValues" dxfId="491" priority="38" stopIfTrue="1"/>
  </conditionalFormatting>
  <conditionalFormatting sqref="U25">
    <cfRule type="duplicateValues" dxfId="490" priority="34" stopIfTrue="1"/>
  </conditionalFormatting>
  <conditionalFormatting sqref="U26">
    <cfRule type="duplicateValues" dxfId="489" priority="33" stopIfTrue="1"/>
  </conditionalFormatting>
  <conditionalFormatting sqref="U27">
    <cfRule type="duplicateValues" dxfId="488" priority="29" stopIfTrue="1"/>
  </conditionalFormatting>
  <conditionalFormatting sqref="U28">
    <cfRule type="duplicateValues" dxfId="487" priority="26" stopIfTrue="1"/>
  </conditionalFormatting>
  <conditionalFormatting sqref="U29">
    <cfRule type="duplicateValues" dxfId="486" priority="25" stopIfTrue="1"/>
  </conditionalFormatting>
  <conditionalFormatting sqref="U30">
    <cfRule type="duplicateValues" dxfId="485" priority="24" stopIfTrue="1"/>
  </conditionalFormatting>
  <conditionalFormatting sqref="U31">
    <cfRule type="duplicateValues" dxfId="484" priority="23" stopIfTrue="1"/>
  </conditionalFormatting>
  <conditionalFormatting sqref="U32">
    <cfRule type="duplicateValues" dxfId="483" priority="17" stopIfTrue="1"/>
  </conditionalFormatting>
  <conditionalFormatting sqref="U33">
    <cfRule type="duplicateValues" dxfId="482" priority="13" stopIfTrue="1"/>
  </conditionalFormatting>
  <conditionalFormatting sqref="U34">
    <cfRule type="duplicateValues" dxfId="481" priority="12" stopIfTrue="1"/>
  </conditionalFormatting>
  <conditionalFormatting sqref="U35">
    <cfRule type="duplicateValues" dxfId="480" priority="11" stopIfTrue="1"/>
  </conditionalFormatting>
  <conditionalFormatting sqref="U36">
    <cfRule type="duplicateValues" dxfId="479" priority="10" stopIfTrue="1"/>
  </conditionalFormatting>
  <conditionalFormatting sqref="U37">
    <cfRule type="duplicateValues" dxfId="478" priority="9" stopIfTrue="1"/>
  </conditionalFormatting>
  <conditionalFormatting sqref="U38 U42">
    <cfRule type="duplicateValues" dxfId="477" priority="8" stopIfTrue="1"/>
  </conditionalFormatting>
  <conditionalFormatting sqref="U39">
    <cfRule type="duplicateValues" dxfId="476" priority="5" stopIfTrue="1"/>
  </conditionalFormatting>
  <conditionalFormatting sqref="U40">
    <cfRule type="duplicateValues" dxfId="475" priority="4" stopIfTrue="1"/>
  </conditionalFormatting>
  <conditionalFormatting sqref="U41">
    <cfRule type="duplicateValues" dxfId="474" priority="1" stopIfTrue="1"/>
  </conditionalFormatting>
  <conditionalFormatting sqref="U44">
    <cfRule type="duplicateValues" dxfId="473" priority="71" stopIfTrue="1"/>
  </conditionalFormatting>
  <conditionalFormatting sqref="U45 U47">
    <cfRule type="duplicateValues" dxfId="472" priority="43" stopIfTrue="1"/>
  </conditionalFormatting>
  <conditionalFormatting sqref="U46">
    <cfRule type="duplicateValues" dxfId="471" priority="35" stopIfTrue="1"/>
  </conditionalFormatting>
  <conditionalFormatting sqref="U49">
    <cfRule type="duplicateValues" dxfId="470" priority="47" stopIfTrue="1"/>
  </conditionalFormatting>
  <conditionalFormatting sqref="U50">
    <cfRule type="duplicateValues" dxfId="469" priority="39" stopIfTrue="1"/>
  </conditionalFormatting>
  <conditionalFormatting sqref="U52">
    <cfRule type="duplicateValues" dxfId="468" priority="69" stopIfTrue="1"/>
  </conditionalFormatting>
  <conditionalFormatting sqref="U53">
    <cfRule type="duplicateValues" dxfId="467" priority="68" stopIfTrue="1"/>
  </conditionalFormatting>
  <conditionalFormatting sqref="U54">
    <cfRule type="duplicateValues" dxfId="466" priority="67" stopIfTrue="1"/>
  </conditionalFormatting>
  <conditionalFormatting sqref="U55">
    <cfRule type="duplicateValues" dxfId="465" priority="66" stopIfTrue="1"/>
  </conditionalFormatting>
  <conditionalFormatting sqref="U56">
    <cfRule type="duplicateValues" dxfId="464" priority="59" stopIfTrue="1"/>
  </conditionalFormatting>
  <conditionalFormatting sqref="U57">
    <cfRule type="duplicateValues" dxfId="463" priority="52" stopIfTrue="1"/>
  </conditionalFormatting>
  <conditionalFormatting sqref="U58">
    <cfRule type="duplicateValues" dxfId="462" priority="44" stopIfTrue="1"/>
  </conditionalFormatting>
  <conditionalFormatting sqref="U59">
    <cfRule type="duplicateValues" dxfId="461" priority="41" stopIfTrue="1"/>
  </conditionalFormatting>
  <conditionalFormatting sqref="U60">
    <cfRule type="duplicateValues" dxfId="460" priority="37" stopIfTrue="1"/>
  </conditionalFormatting>
  <conditionalFormatting sqref="U61">
    <cfRule type="duplicateValues" dxfId="459" priority="28" stopIfTrue="1"/>
  </conditionalFormatting>
  <conditionalFormatting sqref="U62:U63">
    <cfRule type="duplicateValues" dxfId="458" priority="7" stopIfTrue="1"/>
  </conditionalFormatting>
  <conditionalFormatting sqref="U65">
    <cfRule type="duplicateValues" dxfId="457" priority="56" stopIfTrue="1"/>
  </conditionalFormatting>
  <conditionalFormatting sqref="U66">
    <cfRule type="duplicateValues" dxfId="456" priority="36" stopIfTrue="1"/>
  </conditionalFormatting>
  <conditionalFormatting sqref="U67">
    <cfRule type="duplicateValues" dxfId="455" priority="27" stopIfTrue="1"/>
  </conditionalFormatting>
  <conditionalFormatting sqref="U68:U69">
    <cfRule type="duplicateValues" dxfId="454" priority="20" stopIfTrue="1"/>
  </conditionalFormatting>
  <conditionalFormatting sqref="U71">
    <cfRule type="duplicateValues" dxfId="453" priority="75" stopIfTrue="1"/>
  </conditionalFormatting>
  <conditionalFormatting sqref="U72">
    <cfRule type="duplicateValues" dxfId="452" priority="58" stopIfTrue="1"/>
  </conditionalFormatting>
  <conditionalFormatting sqref="U73">
    <cfRule type="duplicateValues" dxfId="451" priority="74" stopIfTrue="1"/>
  </conditionalFormatting>
  <conditionalFormatting sqref="U75">
    <cfRule type="duplicateValues" dxfId="450" priority="32" stopIfTrue="1"/>
  </conditionalFormatting>
  <conditionalFormatting sqref="U77">
    <cfRule type="duplicateValues" dxfId="449" priority="70" stopIfTrue="1"/>
  </conditionalFormatting>
  <conditionalFormatting sqref="U78">
    <cfRule type="duplicateValues" dxfId="448" priority="64" stopIfTrue="1"/>
  </conditionalFormatting>
  <conditionalFormatting sqref="U79">
    <cfRule type="duplicateValues" dxfId="447" priority="45" stopIfTrue="1"/>
  </conditionalFormatting>
  <conditionalFormatting sqref="U80">
    <cfRule type="duplicateValues" dxfId="446" priority="31" stopIfTrue="1"/>
  </conditionalFormatting>
  <conditionalFormatting sqref="U81">
    <cfRule type="duplicateValues" dxfId="445" priority="16" stopIfTrue="1"/>
  </conditionalFormatting>
  <conditionalFormatting sqref="U82">
    <cfRule type="duplicateValues" dxfId="444" priority="15" stopIfTrue="1"/>
  </conditionalFormatting>
  <conditionalFormatting sqref="U83">
    <cfRule type="duplicateValues" dxfId="443" priority="6" stopIfTrue="1"/>
  </conditionalFormatting>
  <conditionalFormatting sqref="U84:U85">
    <cfRule type="duplicateValues" dxfId="442" priority="2" stopIfTrue="1"/>
  </conditionalFormatting>
  <conditionalFormatting sqref="U87">
    <cfRule type="duplicateValues" dxfId="441" priority="63" stopIfTrue="1"/>
  </conditionalFormatting>
  <conditionalFormatting sqref="U88:U89">
    <cfRule type="duplicateValues" dxfId="440" priority="49" stopIfTrue="1"/>
  </conditionalFormatting>
  <conditionalFormatting sqref="U91">
    <cfRule type="duplicateValues" dxfId="439" priority="42" stopIfTrue="1"/>
  </conditionalFormatting>
  <conditionalFormatting sqref="U92">
    <cfRule type="duplicateValues" dxfId="438" priority="19" stopIfTrue="1"/>
  </conditionalFormatting>
  <conditionalFormatting sqref="U93">
    <cfRule type="duplicateValues" dxfId="437" priority="57" stopIfTrue="1"/>
  </conditionalFormatting>
  <conditionalFormatting sqref="U94">
    <cfRule type="duplicateValues" dxfId="436" priority="54" stopIfTrue="1"/>
  </conditionalFormatting>
  <conditionalFormatting sqref="U97">
    <cfRule type="duplicateValues" dxfId="435" priority="76" stopIfTrue="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3"/>
  <sheetViews>
    <sheetView topLeftCell="A30" zoomScale="90" zoomScaleNormal="90" workbookViewId="0">
      <selection activeCell="B67" sqref="B67"/>
    </sheetView>
  </sheetViews>
  <sheetFormatPr defaultColWidth="9.1171875" defaultRowHeight="12.7" x14ac:dyDescent="0.4"/>
  <cols>
    <col min="1" max="2" width="9.1171875" style="1"/>
    <col min="3" max="3" width="16.29296875" style="1" customWidth="1"/>
    <col min="4" max="4" width="18.5859375" style="1" customWidth="1"/>
    <col min="5" max="5" width="12.5859375" style="1" customWidth="1"/>
    <col min="6" max="6" width="28.41015625" style="1" customWidth="1"/>
    <col min="7" max="7" width="12.5859375" style="1" customWidth="1"/>
    <col min="8" max="8" width="28.41015625" style="1" customWidth="1"/>
    <col min="9" max="16384" width="9.1171875" style="1"/>
  </cols>
  <sheetData>
    <row r="1" spans="1:24" s="9" customFormat="1" ht="38" x14ac:dyDescent="0.4">
      <c r="C1" s="16" t="s">
        <v>162</v>
      </c>
      <c r="D1" s="16" t="s">
        <v>0</v>
      </c>
      <c r="E1" s="16" t="s">
        <v>161</v>
      </c>
      <c r="F1" s="16" t="s">
        <v>1</v>
      </c>
      <c r="G1" s="16" t="s">
        <v>255</v>
      </c>
      <c r="H1" s="16" t="s">
        <v>163</v>
      </c>
      <c r="I1" s="16" t="s">
        <v>254</v>
      </c>
      <c r="J1" s="16" t="s">
        <v>164</v>
      </c>
      <c r="K1" s="16" t="s">
        <v>256</v>
      </c>
      <c r="L1" s="16" t="s">
        <v>257</v>
      </c>
      <c r="M1" s="16" t="s">
        <v>258</v>
      </c>
      <c r="N1" s="16" t="s">
        <v>259</v>
      </c>
      <c r="O1" s="16" t="s">
        <v>2</v>
      </c>
      <c r="P1" s="16" t="s">
        <v>3</v>
      </c>
      <c r="Q1" s="16" t="s">
        <v>4</v>
      </c>
      <c r="R1" s="16" t="s">
        <v>5</v>
      </c>
      <c r="S1" s="16" t="s">
        <v>6</v>
      </c>
      <c r="T1" s="16" t="s">
        <v>7</v>
      </c>
      <c r="U1" s="16" t="s">
        <v>8</v>
      </c>
      <c r="V1" s="16" t="s">
        <v>9</v>
      </c>
      <c r="W1" s="16" t="s">
        <v>10</v>
      </c>
      <c r="X1" s="16" t="s">
        <v>260</v>
      </c>
    </row>
    <row r="2" spans="1:24" ht="13.7" x14ac:dyDescent="0.5">
      <c r="A2" s="4" t="s">
        <v>52</v>
      </c>
      <c r="B2" s="10" t="s">
        <v>53</v>
      </c>
      <c r="E2" s="4"/>
      <c r="F2" s="10"/>
    </row>
    <row r="3" spans="1:24" x14ac:dyDescent="0.4">
      <c r="C3" s="1" t="s">
        <v>990</v>
      </c>
      <c r="D3" s="1" t="s">
        <v>991</v>
      </c>
      <c r="E3" s="1" t="s">
        <v>992</v>
      </c>
      <c r="F3" s="1" t="s">
        <v>12</v>
      </c>
      <c r="G3" s="1" t="s">
        <v>262</v>
      </c>
      <c r="H3" s="1" t="s">
        <v>993</v>
      </c>
      <c r="I3" s="1" t="s">
        <v>994</v>
      </c>
      <c r="J3" s="1" t="s">
        <v>995</v>
      </c>
      <c r="K3" s="1" t="s">
        <v>996</v>
      </c>
      <c r="L3" s="1" t="s">
        <v>997</v>
      </c>
      <c r="M3" s="1" t="s">
        <v>998</v>
      </c>
      <c r="N3" s="1" t="s">
        <v>999</v>
      </c>
      <c r="O3" s="1" t="s">
        <v>16</v>
      </c>
      <c r="P3" s="1">
        <v>2024</v>
      </c>
      <c r="Q3" s="1">
        <v>17</v>
      </c>
      <c r="R3" s="1">
        <v>9</v>
      </c>
      <c r="S3" s="1">
        <v>1541</v>
      </c>
      <c r="T3" s="1">
        <v>1556</v>
      </c>
      <c r="U3" s="1" t="s">
        <v>1000</v>
      </c>
      <c r="V3" s="1" t="str">
        <f>HYPERLINK("http://dx.doi.org/10.1007/s12273-024-1169-7","http://dx.doi.org/10.1007/s12273-024-1169-7")</f>
        <v>http://dx.doi.org/10.1007/s12273-024-1169-7</v>
      </c>
    </row>
    <row r="4" spans="1:24" x14ac:dyDescent="0.4">
      <c r="C4" s="1" t="s">
        <v>1426</v>
      </c>
      <c r="D4" s="1" t="s">
        <v>1427</v>
      </c>
      <c r="E4" s="1" t="s">
        <v>1428</v>
      </c>
      <c r="F4" s="1" t="s">
        <v>12</v>
      </c>
      <c r="G4" s="1" t="s">
        <v>262</v>
      </c>
      <c r="H4" s="1" t="s">
        <v>1429</v>
      </c>
      <c r="I4" s="1" t="s">
        <v>1430</v>
      </c>
      <c r="J4" s="1" t="s">
        <v>1431</v>
      </c>
      <c r="K4" s="1" t="s">
        <v>1432</v>
      </c>
      <c r="L4" s="1" t="s">
        <v>275</v>
      </c>
      <c r="M4" s="1" t="s">
        <v>1433</v>
      </c>
      <c r="N4" s="1" t="s">
        <v>276</v>
      </c>
      <c r="O4" s="1" t="s">
        <v>27</v>
      </c>
      <c r="P4" s="1">
        <v>2024</v>
      </c>
      <c r="Q4" s="1">
        <v>17</v>
      </c>
      <c r="R4" s="1">
        <v>12</v>
      </c>
      <c r="S4" s="1">
        <v>2233</v>
      </c>
      <c r="T4" s="1">
        <v>2247</v>
      </c>
      <c r="U4" s="1" t="s">
        <v>1434</v>
      </c>
      <c r="V4" s="1" t="str">
        <f>HYPERLINK("http://dx.doi.org/10.1007/s12273-024-1183-9","http://dx.doi.org/10.1007/s12273-024-1183-9")</f>
        <v>http://dx.doi.org/10.1007/s12273-024-1183-9</v>
      </c>
    </row>
    <row r="5" spans="1:24" x14ac:dyDescent="0.4">
      <c r="C5" s="1" t="s">
        <v>1691</v>
      </c>
      <c r="D5" s="1" t="s">
        <v>1692</v>
      </c>
      <c r="E5" s="1" t="s">
        <v>1693</v>
      </c>
      <c r="F5" s="1" t="s">
        <v>12</v>
      </c>
      <c r="G5" s="1" t="s">
        <v>1080</v>
      </c>
      <c r="H5" s="1" t="s">
        <v>1694</v>
      </c>
      <c r="I5" s="1" t="s">
        <v>11</v>
      </c>
      <c r="J5" s="1" t="s">
        <v>1695</v>
      </c>
      <c r="K5" s="1" t="s">
        <v>1696</v>
      </c>
      <c r="L5" s="1" t="s">
        <v>1641</v>
      </c>
      <c r="M5" s="1" t="s">
        <v>1697</v>
      </c>
      <c r="N5" s="1" t="s">
        <v>1698</v>
      </c>
      <c r="O5" s="1" t="s">
        <v>1654</v>
      </c>
      <c r="P5" s="1">
        <v>2025</v>
      </c>
      <c r="Q5" s="1">
        <v>18</v>
      </c>
      <c r="R5" s="1">
        <v>2</v>
      </c>
      <c r="S5" s="1">
        <v>353</v>
      </c>
      <c r="T5" s="1">
        <v>370</v>
      </c>
      <c r="U5" s="1" t="s">
        <v>1699</v>
      </c>
      <c r="V5" s="1" t="str">
        <f>HYPERLINK("http://dx.doi.org/10.1007/s12273-024-1220-8","http://dx.doi.org/10.1007/s12273-024-1220-8")</f>
        <v>http://dx.doi.org/10.1007/s12273-024-1220-8</v>
      </c>
    </row>
    <row r="6" spans="1:24" x14ac:dyDescent="0.4">
      <c r="C6" s="1" t="s">
        <v>1844</v>
      </c>
      <c r="D6" s="1" t="s">
        <v>1845</v>
      </c>
      <c r="E6" s="1" t="s">
        <v>1846</v>
      </c>
      <c r="F6" s="1" t="s">
        <v>12</v>
      </c>
      <c r="G6" s="1" t="s">
        <v>262</v>
      </c>
      <c r="H6" s="1" t="s">
        <v>1847</v>
      </c>
      <c r="I6" s="1" t="s">
        <v>1848</v>
      </c>
      <c r="J6" s="1" t="s">
        <v>1849</v>
      </c>
      <c r="K6" s="1" t="s">
        <v>1850</v>
      </c>
      <c r="L6" s="1" t="s">
        <v>1851</v>
      </c>
      <c r="M6" s="1" t="s">
        <v>1852</v>
      </c>
      <c r="N6" s="1" t="s">
        <v>1853</v>
      </c>
      <c r="O6" s="1" t="s">
        <v>27</v>
      </c>
      <c r="P6" s="1">
        <v>2025</v>
      </c>
      <c r="Q6" s="1">
        <v>18</v>
      </c>
      <c r="R6" s="1">
        <v>12</v>
      </c>
      <c r="S6" s="1">
        <v>3373</v>
      </c>
      <c r="T6" s="1">
        <v>3391</v>
      </c>
      <c r="U6" s="1" t="s">
        <v>1854</v>
      </c>
      <c r="V6" s="1" t="str">
        <f>HYPERLINK("http://dx.doi.org/10.1007/s12273-025-1391-y","http://dx.doi.org/10.1007/s12273-025-1391-y")</f>
        <v>http://dx.doi.org/10.1007/s12273-025-1391-y</v>
      </c>
    </row>
    <row r="7" spans="1:24" x14ac:dyDescent="0.4">
      <c r="C7" s="1" t="s">
        <v>1987</v>
      </c>
      <c r="D7" s="1" t="s">
        <v>1988</v>
      </c>
      <c r="E7" s="1" t="s">
        <v>1989</v>
      </c>
      <c r="F7" s="1" t="s">
        <v>12</v>
      </c>
      <c r="G7" s="1" t="s">
        <v>262</v>
      </c>
      <c r="H7" s="1" t="s">
        <v>1990</v>
      </c>
      <c r="I7" s="1" t="s">
        <v>1991</v>
      </c>
      <c r="J7" s="1" t="s">
        <v>1992</v>
      </c>
      <c r="K7" s="1" t="s">
        <v>1993</v>
      </c>
      <c r="L7" s="1" t="s">
        <v>1994</v>
      </c>
      <c r="M7" s="1" t="s">
        <v>1995</v>
      </c>
      <c r="N7" s="1" t="s">
        <v>690</v>
      </c>
      <c r="O7" s="1" t="s">
        <v>14</v>
      </c>
      <c r="P7" s="1">
        <v>2025</v>
      </c>
      <c r="Q7" s="1">
        <v>18</v>
      </c>
      <c r="R7" s="1">
        <v>11</v>
      </c>
      <c r="S7" s="1">
        <v>3031</v>
      </c>
      <c r="T7" s="1">
        <v>3043</v>
      </c>
      <c r="U7" s="1" t="s">
        <v>1996</v>
      </c>
      <c r="V7" s="1" t="str">
        <f>HYPERLINK("http://dx.doi.org/10.1007/s12273-025-1361-4","http://dx.doi.org/10.1007/s12273-025-1361-4")</f>
        <v>http://dx.doi.org/10.1007/s12273-025-1361-4</v>
      </c>
    </row>
    <row r="8" spans="1:24" ht="13.7" x14ac:dyDescent="0.4">
      <c r="A8" s="2"/>
      <c r="B8" s="2"/>
      <c r="C8" s="1" t="s">
        <v>2454</v>
      </c>
      <c r="D8" s="1" t="s">
        <v>2455</v>
      </c>
      <c r="E8" s="1" t="s">
        <v>2456</v>
      </c>
      <c r="F8" s="1" t="s">
        <v>12</v>
      </c>
      <c r="G8" s="1" t="s">
        <v>262</v>
      </c>
      <c r="H8" s="1" t="s">
        <v>2457</v>
      </c>
      <c r="I8" s="1" t="s">
        <v>11</v>
      </c>
      <c r="J8" s="1" t="s">
        <v>2458</v>
      </c>
      <c r="K8" s="1" t="s">
        <v>2459</v>
      </c>
      <c r="L8" s="1" t="s">
        <v>2460</v>
      </c>
      <c r="M8" s="1" t="s">
        <v>2461</v>
      </c>
      <c r="N8" s="1" t="s">
        <v>272</v>
      </c>
      <c r="O8" s="1" t="s">
        <v>16</v>
      </c>
      <c r="P8" s="1">
        <v>2025</v>
      </c>
      <c r="Q8" s="1">
        <v>18</v>
      </c>
      <c r="R8" s="1">
        <v>9</v>
      </c>
      <c r="S8" s="1">
        <v>2381</v>
      </c>
      <c r="T8" s="1">
        <v>2403</v>
      </c>
      <c r="U8" s="1" t="s">
        <v>2462</v>
      </c>
      <c r="V8" s="1" t="str">
        <f>HYPERLINK("http://dx.doi.org/10.1007/s12273-025-1318-7","http://dx.doi.org/10.1007/s12273-025-1318-7")</f>
        <v>http://dx.doi.org/10.1007/s12273-025-1318-7</v>
      </c>
    </row>
    <row r="9" spans="1:24" ht="13.7" x14ac:dyDescent="0.4">
      <c r="A9" s="2"/>
      <c r="B9" s="2"/>
      <c r="C9" s="1" t="s">
        <v>2476</v>
      </c>
      <c r="D9" s="1" t="s">
        <v>2477</v>
      </c>
      <c r="E9" s="1" t="s">
        <v>2478</v>
      </c>
      <c r="F9" s="1" t="s">
        <v>12</v>
      </c>
      <c r="G9" s="1" t="s">
        <v>262</v>
      </c>
      <c r="H9" s="1" t="s">
        <v>2479</v>
      </c>
      <c r="I9" s="1" t="s">
        <v>2480</v>
      </c>
      <c r="J9" s="1" t="s">
        <v>2481</v>
      </c>
      <c r="K9" s="1" t="s">
        <v>2482</v>
      </c>
      <c r="L9" s="1" t="s">
        <v>665</v>
      </c>
      <c r="M9" s="1" t="s">
        <v>986</v>
      </c>
      <c r="N9" s="1" t="s">
        <v>987</v>
      </c>
      <c r="O9" s="1" t="s">
        <v>20</v>
      </c>
      <c r="P9" s="1">
        <v>2025</v>
      </c>
      <c r="Q9" s="1">
        <v>18</v>
      </c>
      <c r="R9" s="1">
        <v>7</v>
      </c>
      <c r="S9" s="1">
        <v>1785</v>
      </c>
      <c r="T9" s="1">
        <v>1797</v>
      </c>
      <c r="U9" s="1" t="s">
        <v>2483</v>
      </c>
      <c r="V9" s="1" t="str">
        <f>HYPERLINK("http://dx.doi.org/10.1007/s12273-025-1317-8","http://dx.doi.org/10.1007/s12273-025-1317-8")</f>
        <v>http://dx.doi.org/10.1007/s12273-025-1317-8</v>
      </c>
    </row>
    <row r="10" spans="1:24" ht="13.7" x14ac:dyDescent="0.4">
      <c r="A10" s="2"/>
      <c r="B10" s="2"/>
      <c r="C10" s="1" t="s">
        <v>3290</v>
      </c>
      <c r="D10" s="1" t="s">
        <v>3291</v>
      </c>
      <c r="E10" s="1" t="s">
        <v>3292</v>
      </c>
      <c r="F10" s="1" t="s">
        <v>12</v>
      </c>
      <c r="G10" s="1" t="s">
        <v>262</v>
      </c>
      <c r="H10" s="1" t="s">
        <v>3293</v>
      </c>
      <c r="I10" s="1" t="s">
        <v>3294</v>
      </c>
      <c r="J10" s="1" t="s">
        <v>3295</v>
      </c>
      <c r="K10" s="1" t="s">
        <v>3296</v>
      </c>
      <c r="L10" s="1" t="s">
        <v>3297</v>
      </c>
      <c r="M10" s="1" t="s">
        <v>3298</v>
      </c>
      <c r="N10" s="1" t="s">
        <v>3299</v>
      </c>
      <c r="O10" s="1" t="s">
        <v>25</v>
      </c>
      <c r="P10" s="1">
        <v>2025</v>
      </c>
      <c r="Q10" s="1">
        <v>18</v>
      </c>
      <c r="R10" s="1">
        <v>3</v>
      </c>
      <c r="S10" s="1">
        <v>515</v>
      </c>
      <c r="T10" s="1">
        <v>530</v>
      </c>
      <c r="U10" s="1" t="s">
        <v>3300</v>
      </c>
      <c r="V10" s="1" t="str">
        <f>HYPERLINK("http://dx.doi.org/10.1007/s12273-025-1234-x","http://dx.doi.org/10.1007/s12273-025-1234-x")</f>
        <v>http://dx.doi.org/10.1007/s12273-025-1234-x</v>
      </c>
    </row>
    <row r="11" spans="1:24" ht="13.7" x14ac:dyDescent="0.4">
      <c r="A11" s="2"/>
      <c r="B11" s="2"/>
    </row>
    <row r="12" spans="1:24" ht="13.7" x14ac:dyDescent="0.5">
      <c r="A12" s="4" t="s">
        <v>54</v>
      </c>
      <c r="B12" s="10" t="s">
        <v>55</v>
      </c>
      <c r="E12" s="4"/>
      <c r="F12" s="10"/>
    </row>
    <row r="13" spans="1:24" x14ac:dyDescent="0.4">
      <c r="C13" s="1" t="s">
        <v>1393</v>
      </c>
      <c r="D13" s="1" t="s">
        <v>1394</v>
      </c>
      <c r="E13" s="1" t="s">
        <v>1395</v>
      </c>
      <c r="F13" s="1" t="s">
        <v>12</v>
      </c>
      <c r="G13" s="1" t="s">
        <v>262</v>
      </c>
      <c r="H13" s="1" t="s">
        <v>1396</v>
      </c>
      <c r="I13" s="1" t="s">
        <v>1397</v>
      </c>
      <c r="J13" s="1" t="s">
        <v>1398</v>
      </c>
      <c r="K13" s="1" t="s">
        <v>1399</v>
      </c>
      <c r="L13" s="1" t="s">
        <v>318</v>
      </c>
      <c r="M13" s="1" t="s">
        <v>1400</v>
      </c>
      <c r="N13" s="1" t="s">
        <v>1401</v>
      </c>
      <c r="O13" s="1" t="s">
        <v>27</v>
      </c>
      <c r="P13" s="1">
        <v>2024</v>
      </c>
      <c r="Q13" s="1">
        <v>17</v>
      </c>
      <c r="R13" s="1">
        <v>12</v>
      </c>
      <c r="S13" s="1">
        <v>2179</v>
      </c>
      <c r="T13" s="1">
        <v>2198</v>
      </c>
      <c r="U13" s="1" t="s">
        <v>1402</v>
      </c>
      <c r="V13" s="1" t="str">
        <f>HYPERLINK("http://dx.doi.org/10.1007/s12273-024-1186-6","http://dx.doi.org/10.1007/s12273-024-1186-6")</f>
        <v>http://dx.doi.org/10.1007/s12273-024-1186-6</v>
      </c>
    </row>
    <row r="14" spans="1:24" x14ac:dyDescent="0.4">
      <c r="C14" s="1" t="s">
        <v>1404</v>
      </c>
      <c r="D14" s="1" t="s">
        <v>1405</v>
      </c>
      <c r="E14" s="1" t="s">
        <v>1406</v>
      </c>
      <c r="F14" s="1" t="s">
        <v>12</v>
      </c>
      <c r="G14" s="1" t="s">
        <v>262</v>
      </c>
      <c r="H14" s="1" t="s">
        <v>1407</v>
      </c>
      <c r="I14" s="1" t="s">
        <v>1408</v>
      </c>
      <c r="J14" s="1" t="s">
        <v>1409</v>
      </c>
      <c r="K14" s="1" t="s">
        <v>1410</v>
      </c>
      <c r="L14" s="1" t="s">
        <v>281</v>
      </c>
      <c r="M14" s="1" t="s">
        <v>1411</v>
      </c>
      <c r="N14" s="1" t="s">
        <v>317</v>
      </c>
      <c r="O14" s="1" t="s">
        <v>27</v>
      </c>
      <c r="P14" s="1">
        <v>2024</v>
      </c>
      <c r="Q14" s="1">
        <v>17</v>
      </c>
      <c r="R14" s="1">
        <v>12</v>
      </c>
      <c r="S14" s="1">
        <v>2199</v>
      </c>
      <c r="T14" s="1">
        <v>2212</v>
      </c>
      <c r="U14" s="1" t="s">
        <v>1412</v>
      </c>
      <c r="V14" s="1" t="str">
        <f>HYPERLINK("http://dx.doi.org/10.1007/s12273-024-1189-3","http://dx.doi.org/10.1007/s12273-024-1189-3")</f>
        <v>http://dx.doi.org/10.1007/s12273-024-1189-3</v>
      </c>
    </row>
    <row r="15" spans="1:24" x14ac:dyDescent="0.4">
      <c r="C15" s="1" t="s">
        <v>1951</v>
      </c>
      <c r="D15" s="1" t="s">
        <v>1952</v>
      </c>
      <c r="E15" s="1" t="s">
        <v>1953</v>
      </c>
      <c r="F15" s="1" t="s">
        <v>12</v>
      </c>
      <c r="G15" s="1" t="s">
        <v>262</v>
      </c>
      <c r="H15" s="1" t="s">
        <v>1954</v>
      </c>
      <c r="I15" s="1" t="s">
        <v>1955</v>
      </c>
      <c r="J15" s="1" t="s">
        <v>1956</v>
      </c>
      <c r="K15" s="1" t="s">
        <v>1957</v>
      </c>
      <c r="L15" s="1" t="s">
        <v>1958</v>
      </c>
      <c r="M15" s="1" t="s">
        <v>1959</v>
      </c>
      <c r="N15" s="1" t="s">
        <v>1960</v>
      </c>
      <c r="O15" s="1" t="s">
        <v>27</v>
      </c>
      <c r="P15" s="1">
        <v>2025</v>
      </c>
      <c r="Q15" s="1">
        <v>18</v>
      </c>
      <c r="R15" s="1">
        <v>12</v>
      </c>
      <c r="S15" s="1">
        <v>3261</v>
      </c>
      <c r="T15" s="1">
        <v>3274</v>
      </c>
      <c r="U15" s="1" t="s">
        <v>1961</v>
      </c>
      <c r="V15" s="1" t="str">
        <f>HYPERLINK("http://dx.doi.org/10.1007/s12273-025-1381-0","http://dx.doi.org/10.1007/s12273-025-1381-0")</f>
        <v>http://dx.doi.org/10.1007/s12273-025-1381-0</v>
      </c>
    </row>
    <row r="16" spans="1:24" ht="13.7" x14ac:dyDescent="0.4">
      <c r="A16" s="2"/>
      <c r="B16" s="2"/>
      <c r="C16" s="1" t="s">
        <v>2658</v>
      </c>
      <c r="D16" s="1" t="s">
        <v>2659</v>
      </c>
      <c r="E16" s="1" t="s">
        <v>2660</v>
      </c>
      <c r="F16" s="1" t="s">
        <v>12</v>
      </c>
      <c r="G16" s="1" t="s">
        <v>262</v>
      </c>
      <c r="H16" s="1" t="s">
        <v>2661</v>
      </c>
      <c r="I16" s="1" t="s">
        <v>11</v>
      </c>
      <c r="J16" s="1" t="s">
        <v>2662</v>
      </c>
      <c r="K16" s="1" t="s">
        <v>2663</v>
      </c>
      <c r="L16" s="1" t="s">
        <v>2664</v>
      </c>
      <c r="M16" s="1" t="s">
        <v>2665</v>
      </c>
      <c r="N16" s="1" t="s">
        <v>2666</v>
      </c>
      <c r="O16" s="1" t="s">
        <v>19</v>
      </c>
      <c r="P16" s="1">
        <v>2025</v>
      </c>
      <c r="Q16" s="1">
        <v>18</v>
      </c>
      <c r="R16" s="1">
        <v>8</v>
      </c>
      <c r="S16" s="1">
        <v>2057</v>
      </c>
      <c r="T16" s="1">
        <v>2066</v>
      </c>
      <c r="U16" s="1" t="s">
        <v>2667</v>
      </c>
      <c r="V16" s="1" t="str">
        <f>HYPERLINK("http://dx.doi.org/10.1007/s12273-025-1299-6","http://dx.doi.org/10.1007/s12273-025-1299-6")</f>
        <v>http://dx.doi.org/10.1007/s12273-025-1299-6</v>
      </c>
    </row>
    <row r="17" spans="1:22" x14ac:dyDescent="0.4">
      <c r="C17" s="1" t="s">
        <v>2745</v>
      </c>
      <c r="D17" s="1" t="s">
        <v>2746</v>
      </c>
      <c r="E17" s="1" t="s">
        <v>2747</v>
      </c>
      <c r="F17" s="1" t="s">
        <v>12</v>
      </c>
      <c r="G17" s="1" t="s">
        <v>262</v>
      </c>
      <c r="H17" s="1" t="s">
        <v>2748</v>
      </c>
      <c r="I17" s="1" t="s">
        <v>2749</v>
      </c>
      <c r="J17" s="1" t="s">
        <v>2750</v>
      </c>
      <c r="K17" s="1" t="s">
        <v>2751</v>
      </c>
      <c r="L17" s="1" t="s">
        <v>2752</v>
      </c>
      <c r="M17" s="1" t="s">
        <v>2753</v>
      </c>
      <c r="N17" s="1" t="s">
        <v>2754</v>
      </c>
      <c r="O17" s="1" t="s">
        <v>20</v>
      </c>
      <c r="P17" s="1">
        <v>2025</v>
      </c>
      <c r="Q17" s="1">
        <v>18</v>
      </c>
      <c r="R17" s="1">
        <v>7</v>
      </c>
      <c r="S17" s="1">
        <v>1761</v>
      </c>
      <c r="T17" s="1">
        <v>1783</v>
      </c>
      <c r="U17" s="1" t="s">
        <v>2755</v>
      </c>
      <c r="V17" s="1" t="str">
        <f>HYPERLINK("http://dx.doi.org/10.1007/s12273-025-1294-y","http://dx.doi.org/10.1007/s12273-025-1294-y")</f>
        <v>http://dx.doi.org/10.1007/s12273-025-1294-y</v>
      </c>
    </row>
    <row r="18" spans="1:22" x14ac:dyDescent="0.4">
      <c r="C18" s="1" t="s">
        <v>2907</v>
      </c>
      <c r="D18" s="1" t="s">
        <v>2908</v>
      </c>
      <c r="E18" s="1" t="s">
        <v>2909</v>
      </c>
      <c r="F18" s="1" t="s">
        <v>12</v>
      </c>
      <c r="G18" s="1" t="s">
        <v>262</v>
      </c>
      <c r="H18" s="1" t="s">
        <v>2910</v>
      </c>
      <c r="I18" s="1" t="s">
        <v>2911</v>
      </c>
      <c r="J18" s="1" t="s">
        <v>2912</v>
      </c>
      <c r="K18" s="1" t="s">
        <v>2913</v>
      </c>
      <c r="L18" s="1" t="s">
        <v>2914</v>
      </c>
      <c r="M18" s="1" t="s">
        <v>1548</v>
      </c>
      <c r="N18" s="1" t="s">
        <v>1549</v>
      </c>
      <c r="O18" s="1" t="s">
        <v>20</v>
      </c>
      <c r="P18" s="1">
        <v>2025</v>
      </c>
      <c r="Q18" s="1">
        <v>18</v>
      </c>
      <c r="R18" s="1">
        <v>7</v>
      </c>
      <c r="S18" s="1">
        <v>1743</v>
      </c>
      <c r="T18" s="1">
        <v>1760</v>
      </c>
      <c r="U18" s="1" t="s">
        <v>2915</v>
      </c>
      <c r="V18" s="1" t="str">
        <f>HYPERLINK("http://dx.doi.org/10.1007/s12273-025-1285-z","http://dx.doi.org/10.1007/s12273-025-1285-z")</f>
        <v>http://dx.doi.org/10.1007/s12273-025-1285-z</v>
      </c>
    </row>
    <row r="19" spans="1:22" ht="13.7" x14ac:dyDescent="0.4">
      <c r="A19" s="2"/>
      <c r="B19" s="2"/>
      <c r="C19" s="1" t="s">
        <v>3076</v>
      </c>
      <c r="D19" s="1" t="s">
        <v>3077</v>
      </c>
      <c r="E19" s="1" t="s">
        <v>3078</v>
      </c>
      <c r="F19" s="1" t="s">
        <v>12</v>
      </c>
      <c r="G19" s="1" t="s">
        <v>262</v>
      </c>
      <c r="H19" s="1" t="s">
        <v>3079</v>
      </c>
      <c r="I19" s="1" t="s">
        <v>3080</v>
      </c>
      <c r="J19" s="1" t="s">
        <v>3081</v>
      </c>
      <c r="K19" s="1" t="s">
        <v>3082</v>
      </c>
      <c r="L19" s="1" t="s">
        <v>3083</v>
      </c>
      <c r="M19" s="1" t="s">
        <v>3084</v>
      </c>
      <c r="N19" s="1" t="s">
        <v>3085</v>
      </c>
      <c r="O19" s="1" t="s">
        <v>21</v>
      </c>
      <c r="P19" s="1">
        <v>2025</v>
      </c>
      <c r="Q19" s="1">
        <v>18</v>
      </c>
      <c r="R19" s="1">
        <v>5</v>
      </c>
      <c r="S19" s="1">
        <v>1121</v>
      </c>
      <c r="T19" s="1">
        <v>1142</v>
      </c>
      <c r="U19" s="1" t="s">
        <v>3086</v>
      </c>
      <c r="V19" s="1" t="str">
        <f>HYPERLINK("http://dx.doi.org/10.1007/s12273-025-1258-2","http://dx.doi.org/10.1007/s12273-025-1258-2")</f>
        <v>http://dx.doi.org/10.1007/s12273-025-1258-2</v>
      </c>
    </row>
    <row r="20" spans="1:22" ht="13.7" x14ac:dyDescent="0.4">
      <c r="A20" s="2"/>
      <c r="B20" s="2"/>
      <c r="C20" s="1" t="s">
        <v>3124</v>
      </c>
      <c r="D20" s="1" t="s">
        <v>3125</v>
      </c>
      <c r="E20" s="1" t="s">
        <v>3126</v>
      </c>
      <c r="F20" s="1" t="s">
        <v>12</v>
      </c>
      <c r="G20" s="1" t="s">
        <v>262</v>
      </c>
      <c r="H20" s="1" t="s">
        <v>3127</v>
      </c>
      <c r="I20" s="1" t="s">
        <v>3128</v>
      </c>
      <c r="J20" s="1" t="s">
        <v>3129</v>
      </c>
      <c r="K20" s="1" t="s">
        <v>3130</v>
      </c>
      <c r="L20" s="1" t="s">
        <v>282</v>
      </c>
      <c r="M20" s="1" t="s">
        <v>3131</v>
      </c>
      <c r="N20" s="1" t="s">
        <v>293</v>
      </c>
      <c r="O20" s="1" t="s">
        <v>21</v>
      </c>
      <c r="P20" s="1">
        <v>2025</v>
      </c>
      <c r="Q20" s="1">
        <v>18</v>
      </c>
      <c r="R20" s="1">
        <v>5</v>
      </c>
      <c r="S20" s="1">
        <v>1065</v>
      </c>
      <c r="T20" s="1">
        <v>1085</v>
      </c>
      <c r="U20" s="1" t="s">
        <v>3132</v>
      </c>
      <c r="V20" s="1" t="str">
        <f>HYPERLINK("http://dx.doi.org/10.1007/s12273-025-1251-9","http://dx.doi.org/10.1007/s12273-025-1251-9")</f>
        <v>http://dx.doi.org/10.1007/s12273-025-1251-9</v>
      </c>
    </row>
    <row r="21" spans="1:22" ht="13.7" x14ac:dyDescent="0.4">
      <c r="A21" s="2"/>
      <c r="B21" s="2"/>
      <c r="C21" s="1" t="s">
        <v>3208</v>
      </c>
      <c r="D21" s="1" t="s">
        <v>3209</v>
      </c>
      <c r="E21" s="1" t="s">
        <v>3210</v>
      </c>
      <c r="F21" s="1" t="s">
        <v>12</v>
      </c>
      <c r="G21" s="1" t="s">
        <v>262</v>
      </c>
      <c r="H21" s="1" t="s">
        <v>3211</v>
      </c>
      <c r="I21" s="1" t="s">
        <v>3212</v>
      </c>
      <c r="J21" s="1" t="s">
        <v>3213</v>
      </c>
      <c r="K21" s="1" t="s">
        <v>3214</v>
      </c>
      <c r="L21" s="1" t="s">
        <v>3215</v>
      </c>
      <c r="M21" s="1" t="s">
        <v>3216</v>
      </c>
      <c r="N21" s="1" t="s">
        <v>3217</v>
      </c>
      <c r="O21" s="1" t="s">
        <v>23</v>
      </c>
      <c r="P21" s="1">
        <v>2025</v>
      </c>
      <c r="Q21" s="1">
        <v>18</v>
      </c>
      <c r="R21" s="1">
        <v>4</v>
      </c>
      <c r="S21" s="1">
        <v>847</v>
      </c>
      <c r="T21" s="1">
        <v>862</v>
      </c>
      <c r="U21" s="1" t="s">
        <v>3218</v>
      </c>
      <c r="V21" s="1" t="str">
        <f>HYPERLINK("http://dx.doi.org/10.1007/s12273-025-1245-7","http://dx.doi.org/10.1007/s12273-025-1245-7")</f>
        <v>http://dx.doi.org/10.1007/s12273-025-1245-7</v>
      </c>
    </row>
    <row r="22" spans="1:22" ht="13.7" x14ac:dyDescent="0.4">
      <c r="A22" s="2"/>
      <c r="B22" s="2"/>
      <c r="C22" s="1" t="s">
        <v>3359</v>
      </c>
      <c r="D22" s="1" t="s">
        <v>3360</v>
      </c>
      <c r="E22" s="1" t="s">
        <v>3361</v>
      </c>
      <c r="F22" s="1" t="s">
        <v>12</v>
      </c>
      <c r="G22" s="1" t="s">
        <v>262</v>
      </c>
      <c r="H22" s="1" t="s">
        <v>3362</v>
      </c>
      <c r="I22" s="1" t="s">
        <v>3363</v>
      </c>
      <c r="J22" s="1" t="s">
        <v>3364</v>
      </c>
      <c r="K22" s="1" t="s">
        <v>3365</v>
      </c>
      <c r="L22" s="1" t="s">
        <v>3366</v>
      </c>
      <c r="M22" s="1" t="s">
        <v>3367</v>
      </c>
      <c r="N22" s="1" t="s">
        <v>3368</v>
      </c>
      <c r="O22" s="1" t="s">
        <v>25</v>
      </c>
      <c r="P22" s="1">
        <v>2025</v>
      </c>
      <c r="Q22" s="1">
        <v>18</v>
      </c>
      <c r="R22" s="1">
        <v>3</v>
      </c>
      <c r="S22" s="1">
        <v>601</v>
      </c>
      <c r="T22" s="1">
        <v>617</v>
      </c>
      <c r="U22" s="1" t="s">
        <v>3369</v>
      </c>
      <c r="V22" s="1" t="str">
        <f>HYPERLINK("http://dx.doi.org/10.1007/s12273-024-1229-7","http://dx.doi.org/10.1007/s12273-024-1229-7")</f>
        <v>http://dx.doi.org/10.1007/s12273-024-1229-7</v>
      </c>
    </row>
    <row r="23" spans="1:22" x14ac:dyDescent="0.4">
      <c r="C23" s="1" t="s">
        <v>3437</v>
      </c>
      <c r="D23" s="1" t="s">
        <v>3438</v>
      </c>
      <c r="E23" s="1" t="s">
        <v>3439</v>
      </c>
      <c r="F23" s="1" t="s">
        <v>12</v>
      </c>
      <c r="G23" s="1" t="s">
        <v>262</v>
      </c>
      <c r="H23" s="1" t="s">
        <v>3440</v>
      </c>
      <c r="I23" s="1" t="s">
        <v>3441</v>
      </c>
      <c r="J23" s="1" t="s">
        <v>3442</v>
      </c>
      <c r="K23" s="1" t="s">
        <v>3443</v>
      </c>
      <c r="L23" s="1" t="s">
        <v>3444</v>
      </c>
      <c r="M23" s="1" t="s">
        <v>3445</v>
      </c>
      <c r="N23" s="1" t="s">
        <v>274</v>
      </c>
      <c r="O23" s="1" t="s">
        <v>24</v>
      </c>
      <c r="P23" s="1">
        <v>2025</v>
      </c>
      <c r="Q23" s="1">
        <v>18</v>
      </c>
      <c r="R23" s="1">
        <v>1</v>
      </c>
      <c r="S23" s="1">
        <v>19</v>
      </c>
      <c r="T23" s="1">
        <v>32</v>
      </c>
      <c r="U23" s="1" t="s">
        <v>3446</v>
      </c>
      <c r="V23" s="1" t="str">
        <f>HYPERLINK("http://dx.doi.org/10.1007/s12273-024-1204-8","http://dx.doi.org/10.1007/s12273-024-1204-8")</f>
        <v>http://dx.doi.org/10.1007/s12273-024-1204-8</v>
      </c>
    </row>
    <row r="24" spans="1:22" ht="13.7" x14ac:dyDescent="0.4">
      <c r="A24" s="2"/>
      <c r="B24" s="2"/>
    </row>
    <row r="25" spans="1:22" ht="13.7" x14ac:dyDescent="0.4">
      <c r="A25" s="2" t="s">
        <v>56</v>
      </c>
      <c r="B25" s="17" t="s">
        <v>57</v>
      </c>
      <c r="E25" s="2"/>
      <c r="F25" s="17"/>
    </row>
    <row r="26" spans="1:22" x14ac:dyDescent="0.4">
      <c r="C26" s="1" t="s">
        <v>1657</v>
      </c>
      <c r="D26" s="1" t="s">
        <v>1658</v>
      </c>
      <c r="E26" s="1" t="s">
        <v>1659</v>
      </c>
      <c r="F26" s="1" t="s">
        <v>12</v>
      </c>
      <c r="G26" s="1" t="s">
        <v>1758</v>
      </c>
      <c r="H26" s="1" t="s">
        <v>1660</v>
      </c>
      <c r="I26" s="1" t="s">
        <v>1661</v>
      </c>
      <c r="J26" s="1" t="s">
        <v>1662</v>
      </c>
      <c r="K26" s="1" t="s">
        <v>1663</v>
      </c>
      <c r="L26" s="1" t="s">
        <v>1664</v>
      </c>
      <c r="M26" s="1" t="s">
        <v>1665</v>
      </c>
      <c r="N26" s="1" t="s">
        <v>1666</v>
      </c>
      <c r="O26" s="1" t="s">
        <v>1759</v>
      </c>
      <c r="P26" s="1">
        <v>2025</v>
      </c>
      <c r="Q26" s="1">
        <v>18</v>
      </c>
      <c r="R26" s="1">
        <v>2</v>
      </c>
      <c r="S26" s="1">
        <v>259</v>
      </c>
      <c r="T26" s="1">
        <v>279</v>
      </c>
      <c r="U26" s="1" t="s">
        <v>1667</v>
      </c>
      <c r="V26" s="1" t="str">
        <f>HYPERLINK("http://dx.doi.org/10.1007/s12273-024-1210-x","http://dx.doi.org/10.1007/s12273-024-1210-x")</f>
        <v>http://dx.doi.org/10.1007/s12273-024-1210-x</v>
      </c>
    </row>
    <row r="27" spans="1:22" x14ac:dyDescent="0.4">
      <c r="C27" s="1" t="s">
        <v>1701</v>
      </c>
      <c r="D27" s="1" t="s">
        <v>1702</v>
      </c>
      <c r="E27" s="1" t="s">
        <v>1703</v>
      </c>
      <c r="F27" s="1" t="s">
        <v>12</v>
      </c>
      <c r="G27" s="1" t="s">
        <v>1080</v>
      </c>
      <c r="H27" s="1" t="s">
        <v>1704</v>
      </c>
      <c r="I27" s="1" t="s">
        <v>1705</v>
      </c>
      <c r="J27" s="1" t="s">
        <v>1706</v>
      </c>
      <c r="K27" s="1" t="s">
        <v>1707</v>
      </c>
      <c r="L27" s="1" t="s">
        <v>294</v>
      </c>
      <c r="M27" s="1" t="s">
        <v>1708</v>
      </c>
      <c r="N27" s="1" t="s">
        <v>1709</v>
      </c>
      <c r="O27" s="1" t="s">
        <v>1654</v>
      </c>
      <c r="P27" s="1">
        <v>2025</v>
      </c>
      <c r="Q27" s="1">
        <v>18</v>
      </c>
      <c r="R27" s="1">
        <v>2</v>
      </c>
      <c r="S27" s="1">
        <v>371</v>
      </c>
      <c r="T27" s="1">
        <v>383</v>
      </c>
      <c r="U27" s="1" t="s">
        <v>1710</v>
      </c>
      <c r="V27" s="1" t="str">
        <f>HYPERLINK("http://dx.doi.org/10.1007/s12273-024-1215-5","http://dx.doi.org/10.1007/s12273-024-1215-5")</f>
        <v>http://dx.doi.org/10.1007/s12273-024-1215-5</v>
      </c>
    </row>
    <row r="28" spans="1:22" x14ac:dyDescent="0.4">
      <c r="C28" s="1" t="s">
        <v>1724</v>
      </c>
      <c r="D28" s="1" t="s">
        <v>1725</v>
      </c>
      <c r="E28" s="1" t="s">
        <v>1726</v>
      </c>
      <c r="F28" s="1" t="s">
        <v>12</v>
      </c>
      <c r="G28" s="1" t="s">
        <v>1080</v>
      </c>
      <c r="H28" s="1" t="s">
        <v>1727</v>
      </c>
      <c r="I28" s="1" t="s">
        <v>1728</v>
      </c>
      <c r="J28" s="1" t="s">
        <v>1729</v>
      </c>
      <c r="K28" s="1" t="s">
        <v>1730</v>
      </c>
      <c r="L28" s="1" t="s">
        <v>1731</v>
      </c>
      <c r="M28" s="1" t="s">
        <v>1732</v>
      </c>
      <c r="N28" s="1" t="s">
        <v>852</v>
      </c>
      <c r="O28" s="1" t="s">
        <v>1733</v>
      </c>
      <c r="P28" s="1">
        <v>2025</v>
      </c>
      <c r="Q28" s="1">
        <v>18</v>
      </c>
      <c r="R28" s="1">
        <v>3</v>
      </c>
      <c r="S28" s="1">
        <v>473</v>
      </c>
      <c r="T28" s="1">
        <v>497</v>
      </c>
      <c r="U28" s="1" t="s">
        <v>1734</v>
      </c>
      <c r="V28" s="1" t="str">
        <f>HYPERLINK("http://dx.doi.org/10.1007/s12273-024-1196-4","http://dx.doi.org/10.1007/s12273-024-1196-4")</f>
        <v>http://dx.doi.org/10.1007/s12273-024-1196-4</v>
      </c>
    </row>
    <row r="29" spans="1:22" ht="13.7" x14ac:dyDescent="0.4">
      <c r="A29" s="2"/>
      <c r="B29" s="2"/>
      <c r="C29" s="1" t="s">
        <v>2531</v>
      </c>
      <c r="D29" s="1" t="s">
        <v>2532</v>
      </c>
      <c r="E29" s="1" t="s">
        <v>2533</v>
      </c>
      <c r="F29" s="1" t="s">
        <v>12</v>
      </c>
      <c r="G29" s="1" t="s">
        <v>262</v>
      </c>
      <c r="H29" s="1" t="s">
        <v>2534</v>
      </c>
      <c r="I29" s="1" t="s">
        <v>2535</v>
      </c>
      <c r="J29" s="1" t="s">
        <v>2536</v>
      </c>
      <c r="K29" s="1" t="s">
        <v>2537</v>
      </c>
      <c r="L29" s="1" t="s">
        <v>2538</v>
      </c>
      <c r="M29" s="1" t="s">
        <v>2539</v>
      </c>
      <c r="N29" s="1" t="s">
        <v>417</v>
      </c>
      <c r="O29" s="1" t="s">
        <v>19</v>
      </c>
      <c r="P29" s="1">
        <v>2025</v>
      </c>
      <c r="Q29" s="1">
        <v>18</v>
      </c>
      <c r="R29" s="1">
        <v>8</v>
      </c>
      <c r="S29" s="1">
        <v>2067</v>
      </c>
      <c r="T29" s="1">
        <v>2084</v>
      </c>
      <c r="U29" s="1" t="s">
        <v>2540</v>
      </c>
      <c r="V29" s="1" t="str">
        <f>HYPERLINK("http://dx.doi.org/10.1007/s12273-025-1303-1","http://dx.doi.org/10.1007/s12273-025-1303-1")</f>
        <v>http://dx.doi.org/10.1007/s12273-025-1303-1</v>
      </c>
    </row>
    <row r="30" spans="1:22" ht="13.7" x14ac:dyDescent="0.4">
      <c r="A30" s="2"/>
      <c r="B30" s="2"/>
    </row>
    <row r="31" spans="1:22" ht="13.7" x14ac:dyDescent="0.5">
      <c r="A31" s="4" t="s">
        <v>58</v>
      </c>
      <c r="B31" s="10" t="s">
        <v>59</v>
      </c>
      <c r="E31" s="4"/>
      <c r="F31" s="10"/>
    </row>
    <row r="32" spans="1:22" x14ac:dyDescent="0.4">
      <c r="C32" s="1" t="s">
        <v>517</v>
      </c>
      <c r="D32" s="1" t="s">
        <v>518</v>
      </c>
      <c r="E32" s="1" t="s">
        <v>519</v>
      </c>
      <c r="F32" s="1" t="s">
        <v>12</v>
      </c>
      <c r="G32" s="1" t="s">
        <v>262</v>
      </c>
      <c r="H32" s="1" t="s">
        <v>520</v>
      </c>
      <c r="I32" s="1" t="s">
        <v>521</v>
      </c>
      <c r="J32" s="1" t="s">
        <v>522</v>
      </c>
      <c r="K32" s="1" t="s">
        <v>523</v>
      </c>
      <c r="L32" s="1" t="s">
        <v>524</v>
      </c>
      <c r="M32" s="1" t="s">
        <v>525</v>
      </c>
      <c r="N32" s="1" t="s">
        <v>526</v>
      </c>
      <c r="O32" s="1" t="s">
        <v>21</v>
      </c>
      <c r="P32" s="1">
        <v>2024</v>
      </c>
      <c r="Q32" s="1">
        <v>17</v>
      </c>
      <c r="R32" s="1">
        <v>5</v>
      </c>
      <c r="S32" s="1">
        <v>771</v>
      </c>
      <c r="T32" s="1">
        <v>784</v>
      </c>
      <c r="U32" s="1" t="s">
        <v>527</v>
      </c>
      <c r="V32" s="1" t="str">
        <f>HYPERLINK("http://dx.doi.org/10.1007/s12273-024-1102-0","http://dx.doi.org/10.1007/s12273-024-1102-0")</f>
        <v>http://dx.doi.org/10.1007/s12273-024-1102-0</v>
      </c>
    </row>
    <row r="33" spans="1:22" x14ac:dyDescent="0.4">
      <c r="C33" s="1" t="s">
        <v>760</v>
      </c>
      <c r="D33" s="1" t="s">
        <v>761</v>
      </c>
      <c r="E33" s="1" t="s">
        <v>762</v>
      </c>
      <c r="F33" s="1" t="s">
        <v>12</v>
      </c>
      <c r="G33" s="1" t="s">
        <v>262</v>
      </c>
      <c r="H33" s="1" t="s">
        <v>763</v>
      </c>
      <c r="I33" s="1" t="s">
        <v>764</v>
      </c>
      <c r="J33" s="1" t="s">
        <v>765</v>
      </c>
      <c r="K33" s="1" t="s">
        <v>766</v>
      </c>
      <c r="L33" s="1" t="s">
        <v>281</v>
      </c>
      <c r="M33" s="1" t="s">
        <v>767</v>
      </c>
      <c r="N33" s="1" t="s">
        <v>768</v>
      </c>
      <c r="O33" s="1" t="s">
        <v>20</v>
      </c>
      <c r="P33" s="1">
        <v>2024</v>
      </c>
      <c r="Q33" s="1">
        <v>17</v>
      </c>
      <c r="R33" s="1">
        <v>7</v>
      </c>
      <c r="S33" s="1">
        <v>1161</v>
      </c>
      <c r="T33" s="1">
        <v>1182</v>
      </c>
      <c r="U33" s="1" t="s">
        <v>769</v>
      </c>
      <c r="V33" s="1" t="str">
        <f>HYPERLINK("http://dx.doi.org/10.1007/s12273-024-1131-8","http://dx.doi.org/10.1007/s12273-024-1131-8")</f>
        <v>http://dx.doi.org/10.1007/s12273-024-1131-8</v>
      </c>
    </row>
    <row r="34" spans="1:22" x14ac:dyDescent="0.4">
      <c r="C34" s="1" t="s">
        <v>1820</v>
      </c>
      <c r="D34" s="1" t="s">
        <v>1821</v>
      </c>
      <c r="E34" s="1" t="s">
        <v>1822</v>
      </c>
      <c r="F34" s="1" t="s">
        <v>12</v>
      </c>
      <c r="G34" s="1" t="s">
        <v>262</v>
      </c>
      <c r="H34" s="1" t="s">
        <v>1823</v>
      </c>
      <c r="I34" s="1" t="s">
        <v>1824</v>
      </c>
      <c r="J34" s="1" t="s">
        <v>1825</v>
      </c>
      <c r="K34" s="1" t="s">
        <v>1826</v>
      </c>
      <c r="L34" s="1" t="s">
        <v>1827</v>
      </c>
      <c r="M34" s="1" t="s">
        <v>1828</v>
      </c>
      <c r="N34" s="1" t="s">
        <v>1829</v>
      </c>
      <c r="O34" s="1" t="s">
        <v>27</v>
      </c>
      <c r="P34" s="1">
        <v>2025</v>
      </c>
      <c r="Q34" s="1">
        <v>18</v>
      </c>
      <c r="R34" s="1">
        <v>12</v>
      </c>
      <c r="S34" s="1">
        <v>3393</v>
      </c>
      <c r="T34" s="1">
        <v>3410</v>
      </c>
      <c r="U34" s="1" t="s">
        <v>1830</v>
      </c>
      <c r="V34" s="1" t="str">
        <f>HYPERLINK("http://dx.doi.org/10.1007/s12273-025-1360-5","http://dx.doi.org/10.1007/s12273-025-1360-5")</f>
        <v>http://dx.doi.org/10.1007/s12273-025-1360-5</v>
      </c>
    </row>
    <row r="35" spans="1:22" ht="13.7" x14ac:dyDescent="0.4">
      <c r="A35" s="2"/>
      <c r="B35" s="2"/>
      <c r="C35" s="1" t="s">
        <v>2613</v>
      </c>
      <c r="D35" s="1" t="s">
        <v>2614</v>
      </c>
      <c r="E35" s="1" t="s">
        <v>2615</v>
      </c>
      <c r="F35" s="1" t="s">
        <v>12</v>
      </c>
      <c r="G35" s="1" t="s">
        <v>262</v>
      </c>
      <c r="H35" s="1" t="s">
        <v>2616</v>
      </c>
      <c r="I35" s="1" t="s">
        <v>2617</v>
      </c>
      <c r="J35" s="1" t="s">
        <v>2618</v>
      </c>
      <c r="K35" s="1" t="s">
        <v>2619</v>
      </c>
      <c r="L35" s="1" t="s">
        <v>2620</v>
      </c>
      <c r="M35" s="1" t="s">
        <v>270</v>
      </c>
      <c r="N35" s="1" t="s">
        <v>271</v>
      </c>
      <c r="O35" s="1" t="s">
        <v>19</v>
      </c>
      <c r="P35" s="1">
        <v>2025</v>
      </c>
      <c r="Q35" s="1">
        <v>18</v>
      </c>
      <c r="R35" s="1">
        <v>8</v>
      </c>
      <c r="S35" s="1">
        <v>2019</v>
      </c>
      <c r="T35" s="1">
        <v>2038</v>
      </c>
      <c r="U35" s="1" t="s">
        <v>2621</v>
      </c>
      <c r="V35" s="1" t="str">
        <f>HYPERLINK("http://dx.doi.org/10.1007/s12273-025-1305-z","http://dx.doi.org/10.1007/s12273-025-1305-z")</f>
        <v>http://dx.doi.org/10.1007/s12273-025-1305-z</v>
      </c>
    </row>
    <row r="36" spans="1:22" x14ac:dyDescent="0.4">
      <c r="C36" s="1" t="s">
        <v>2828</v>
      </c>
      <c r="D36" s="1" t="s">
        <v>2829</v>
      </c>
      <c r="E36" s="1" t="s">
        <v>2830</v>
      </c>
      <c r="F36" s="1" t="s">
        <v>12</v>
      </c>
      <c r="G36" s="1" t="s">
        <v>262</v>
      </c>
      <c r="H36" s="1" t="s">
        <v>2831</v>
      </c>
      <c r="I36" s="1" t="s">
        <v>2832</v>
      </c>
      <c r="J36" s="1" t="s">
        <v>2833</v>
      </c>
      <c r="K36" s="1" t="s">
        <v>2834</v>
      </c>
      <c r="L36" s="1" t="s">
        <v>2835</v>
      </c>
      <c r="M36" s="1" t="s">
        <v>2836</v>
      </c>
      <c r="N36" s="1" t="s">
        <v>2837</v>
      </c>
      <c r="O36" s="1" t="s">
        <v>22</v>
      </c>
      <c r="P36" s="1">
        <v>2025</v>
      </c>
      <c r="Q36" s="1">
        <v>18</v>
      </c>
      <c r="R36" s="1">
        <v>6</v>
      </c>
      <c r="S36" s="1">
        <v>1467</v>
      </c>
      <c r="T36" s="1">
        <v>1482</v>
      </c>
      <c r="U36" s="1" t="s">
        <v>2838</v>
      </c>
      <c r="V36" s="1" t="str">
        <f>HYPERLINK("http://dx.doi.org/10.1007/s12273-025-1292-0","http://dx.doi.org/10.1007/s12273-025-1292-0")</f>
        <v>http://dx.doi.org/10.1007/s12273-025-1292-0</v>
      </c>
    </row>
    <row r="37" spans="1:22" ht="13.7" x14ac:dyDescent="0.4">
      <c r="A37" s="2"/>
      <c r="B37" s="2"/>
    </row>
    <row r="38" spans="1:22" x14ac:dyDescent="0.4">
      <c r="A38" s="10" t="s">
        <v>60</v>
      </c>
      <c r="B38" s="10" t="s">
        <v>61</v>
      </c>
      <c r="E38" s="10"/>
      <c r="F38" s="10"/>
    </row>
    <row r="39" spans="1:22" x14ac:dyDescent="0.4">
      <c r="C39" s="1" t="s">
        <v>397</v>
      </c>
      <c r="D39" s="1" t="s">
        <v>398</v>
      </c>
      <c r="E39" s="1" t="s">
        <v>399</v>
      </c>
      <c r="F39" s="1" t="s">
        <v>12</v>
      </c>
      <c r="G39" s="1" t="s">
        <v>262</v>
      </c>
      <c r="H39" s="1" t="s">
        <v>400</v>
      </c>
      <c r="I39" s="1" t="s">
        <v>401</v>
      </c>
      <c r="J39" s="1" t="s">
        <v>402</v>
      </c>
      <c r="K39" s="1" t="s">
        <v>403</v>
      </c>
      <c r="L39" s="1" t="s">
        <v>404</v>
      </c>
      <c r="M39" s="1" t="s">
        <v>405</v>
      </c>
      <c r="N39" s="1" t="s">
        <v>406</v>
      </c>
      <c r="O39" s="1" t="s">
        <v>23</v>
      </c>
      <c r="P39" s="1">
        <v>2024</v>
      </c>
      <c r="Q39" s="1">
        <v>17</v>
      </c>
      <c r="R39" s="1">
        <v>4</v>
      </c>
      <c r="S39" s="1">
        <v>575</v>
      </c>
      <c r="T39" s="1">
        <v>589</v>
      </c>
      <c r="U39" s="1" t="s">
        <v>407</v>
      </c>
      <c r="V39" s="1" t="str">
        <f>HYPERLINK("http://dx.doi.org/10.1007/s12273-023-1092-3","http://dx.doi.org/10.1007/s12273-023-1092-3")</f>
        <v>http://dx.doi.org/10.1007/s12273-023-1092-3</v>
      </c>
    </row>
    <row r="40" spans="1:22" ht="13.7" x14ac:dyDescent="0.4">
      <c r="A40" s="2"/>
      <c r="B40" s="2"/>
      <c r="C40" s="1" t="s">
        <v>3199</v>
      </c>
      <c r="D40" s="1" t="s">
        <v>3200</v>
      </c>
      <c r="E40" s="1" t="s">
        <v>3201</v>
      </c>
      <c r="F40" s="1" t="s">
        <v>12</v>
      </c>
      <c r="G40" s="1" t="s">
        <v>262</v>
      </c>
      <c r="H40" s="1" t="s">
        <v>3202</v>
      </c>
      <c r="I40" s="1" t="s">
        <v>3203</v>
      </c>
      <c r="J40" s="1" t="s">
        <v>3204</v>
      </c>
      <c r="K40" s="1" t="s">
        <v>3205</v>
      </c>
      <c r="L40" s="1" t="s">
        <v>284</v>
      </c>
      <c r="M40" s="1" t="s">
        <v>285</v>
      </c>
      <c r="N40" s="1" t="s">
        <v>286</v>
      </c>
      <c r="O40" s="1" t="s">
        <v>23</v>
      </c>
      <c r="P40" s="1">
        <v>2025</v>
      </c>
      <c r="Q40" s="1">
        <v>18</v>
      </c>
      <c r="R40" s="1">
        <v>4</v>
      </c>
      <c r="S40" s="1">
        <v>829</v>
      </c>
      <c r="T40" s="1">
        <v>846</v>
      </c>
      <c r="U40" s="1" t="s">
        <v>3206</v>
      </c>
      <c r="V40" s="1" t="str">
        <f>HYPERLINK("http://dx.doi.org/10.1007/s12273-025-1239-5","http://dx.doi.org/10.1007/s12273-025-1239-5")</f>
        <v>http://dx.doi.org/10.1007/s12273-025-1239-5</v>
      </c>
    </row>
    <row r="41" spans="1:22" ht="13.7" x14ac:dyDescent="0.4">
      <c r="A41" s="2"/>
      <c r="B41" s="2"/>
      <c r="C41" s="1" t="s">
        <v>855</v>
      </c>
      <c r="D41" s="1" t="s">
        <v>856</v>
      </c>
      <c r="E41" s="1" t="s">
        <v>857</v>
      </c>
      <c r="F41" s="1" t="s">
        <v>12</v>
      </c>
      <c r="G41" s="1" t="s">
        <v>262</v>
      </c>
      <c r="H41" s="1" t="s">
        <v>858</v>
      </c>
      <c r="I41" s="1" t="s">
        <v>859</v>
      </c>
      <c r="J41" s="1" t="s">
        <v>860</v>
      </c>
      <c r="K41" s="1" t="s">
        <v>861</v>
      </c>
      <c r="L41" s="1" t="s">
        <v>862</v>
      </c>
      <c r="M41" s="1" t="s">
        <v>863</v>
      </c>
      <c r="N41" s="1" t="s">
        <v>864</v>
      </c>
      <c r="O41" s="1" t="s">
        <v>19</v>
      </c>
      <c r="P41" s="1">
        <v>2024</v>
      </c>
      <c r="Q41" s="1">
        <v>17</v>
      </c>
      <c r="R41" s="1">
        <v>8</v>
      </c>
      <c r="S41" s="1">
        <v>1309</v>
      </c>
      <c r="T41" s="1">
        <v>1322</v>
      </c>
      <c r="U41" s="1" t="s">
        <v>865</v>
      </c>
      <c r="V41" s="1" t="str">
        <f>HYPERLINK("http://dx.doi.org/10.1007/s12273-024-1145-2","http://dx.doi.org/10.1007/s12273-024-1145-2")</f>
        <v>http://dx.doi.org/10.1007/s12273-024-1145-2</v>
      </c>
    </row>
    <row r="42" spans="1:22" ht="13.7" x14ac:dyDescent="0.4">
      <c r="A42" s="2"/>
      <c r="B42" s="2"/>
      <c r="C42" s="1" t="s">
        <v>3254</v>
      </c>
      <c r="D42" s="1" t="s">
        <v>3255</v>
      </c>
      <c r="E42" s="1" t="s">
        <v>3256</v>
      </c>
      <c r="F42" s="1" t="s">
        <v>12</v>
      </c>
      <c r="G42" s="1" t="s">
        <v>262</v>
      </c>
      <c r="H42" s="1" t="s">
        <v>3257</v>
      </c>
      <c r="I42" s="1" t="s">
        <v>3258</v>
      </c>
      <c r="J42" s="1" t="s">
        <v>3259</v>
      </c>
      <c r="K42" s="1" t="s">
        <v>3260</v>
      </c>
      <c r="L42" s="1" t="s">
        <v>3261</v>
      </c>
      <c r="M42" s="1" t="s">
        <v>3262</v>
      </c>
      <c r="N42" s="1" t="s">
        <v>3263</v>
      </c>
      <c r="O42" s="1" t="s">
        <v>25</v>
      </c>
      <c r="P42" s="1">
        <v>2025</v>
      </c>
      <c r="Q42" s="1">
        <v>18</v>
      </c>
      <c r="R42" s="1">
        <v>3</v>
      </c>
      <c r="S42" s="1">
        <v>581</v>
      </c>
      <c r="T42" s="1">
        <v>599</v>
      </c>
      <c r="U42" s="1" t="s">
        <v>3264</v>
      </c>
      <c r="V42" s="1" t="str">
        <f>HYPERLINK("http://dx.doi.org/10.1007/s12273-025-1228-8","http://dx.doi.org/10.1007/s12273-025-1228-8")</f>
        <v>http://dx.doi.org/10.1007/s12273-025-1228-8</v>
      </c>
    </row>
    <row r="43" spans="1:22" x14ac:dyDescent="0.4">
      <c r="C43" s="1" t="s">
        <v>3426</v>
      </c>
      <c r="D43" s="1" t="s">
        <v>3427</v>
      </c>
      <c r="E43" s="1" t="s">
        <v>3428</v>
      </c>
      <c r="F43" s="1" t="s">
        <v>12</v>
      </c>
      <c r="G43" s="1" t="s">
        <v>262</v>
      </c>
      <c r="H43" s="1" t="s">
        <v>3429</v>
      </c>
      <c r="I43" s="1" t="s">
        <v>3430</v>
      </c>
      <c r="J43" s="1" t="s">
        <v>3431</v>
      </c>
      <c r="K43" s="1" t="s">
        <v>3432</v>
      </c>
      <c r="L43" s="1" t="s">
        <v>665</v>
      </c>
      <c r="M43" s="1" t="s">
        <v>3433</v>
      </c>
      <c r="N43" s="1" t="s">
        <v>3434</v>
      </c>
      <c r="O43" s="1" t="s">
        <v>26</v>
      </c>
      <c r="P43" s="1">
        <v>2025</v>
      </c>
      <c r="Q43" s="1">
        <v>18</v>
      </c>
      <c r="R43" s="1">
        <v>2</v>
      </c>
      <c r="S43" s="1">
        <v>281</v>
      </c>
      <c r="T43" s="1">
        <v>293</v>
      </c>
      <c r="U43" s="1" t="s">
        <v>3435</v>
      </c>
      <c r="V43" s="1" t="str">
        <f>HYPERLINK("http://dx.doi.org/10.1007/s12273-024-1213-7","http://dx.doi.org/10.1007/s12273-024-1213-7")</f>
        <v>http://dx.doi.org/10.1007/s12273-024-1213-7</v>
      </c>
    </row>
    <row r="44" spans="1:22" x14ac:dyDescent="0.4">
      <c r="C44" s="1" t="s">
        <v>1515</v>
      </c>
      <c r="D44" s="1" t="s">
        <v>1516</v>
      </c>
      <c r="E44" s="1" t="s">
        <v>1517</v>
      </c>
      <c r="F44" s="1" t="s">
        <v>12</v>
      </c>
      <c r="G44" s="1" t="s">
        <v>262</v>
      </c>
      <c r="H44" s="1" t="s">
        <v>1518</v>
      </c>
      <c r="I44" s="1" t="s">
        <v>1519</v>
      </c>
      <c r="J44" s="1" t="s">
        <v>1520</v>
      </c>
      <c r="K44" s="1" t="s">
        <v>1521</v>
      </c>
      <c r="L44" s="1" t="s">
        <v>295</v>
      </c>
      <c r="M44" s="1" t="s">
        <v>1522</v>
      </c>
      <c r="N44" s="1" t="s">
        <v>1523</v>
      </c>
      <c r="O44" s="1" t="s">
        <v>24</v>
      </c>
      <c r="P44" s="1">
        <v>2025</v>
      </c>
      <c r="Q44" s="1">
        <v>18</v>
      </c>
      <c r="R44" s="1">
        <v>1</v>
      </c>
      <c r="S44" s="1">
        <v>3</v>
      </c>
      <c r="T44" s="1">
        <v>18</v>
      </c>
      <c r="U44" s="1" t="s">
        <v>1525</v>
      </c>
      <c r="V44" s="1" t="str">
        <f>HYPERLINK("http://dx.doi.org/10.1007/s12273-024-1214-6","http://dx.doi.org/10.1007/s12273-024-1214-6")</f>
        <v>http://dx.doi.org/10.1007/s12273-024-1214-6</v>
      </c>
    </row>
    <row r="46" spans="1:22" ht="13.7" x14ac:dyDescent="0.5">
      <c r="A46" s="2" t="s">
        <v>62</v>
      </c>
      <c r="B46" s="2" t="s">
        <v>1766</v>
      </c>
      <c r="E46" s="4"/>
      <c r="F46" s="10"/>
    </row>
    <row r="47" spans="1:22" ht="13.7" x14ac:dyDescent="0.4">
      <c r="A47" s="2"/>
      <c r="B47" s="2"/>
      <c r="C47" s="1" t="s">
        <v>1181</v>
      </c>
      <c r="D47" s="1" t="s">
        <v>1182</v>
      </c>
      <c r="E47" s="1" t="s">
        <v>1183</v>
      </c>
      <c r="F47" s="1" t="s">
        <v>12</v>
      </c>
      <c r="G47" s="1" t="s">
        <v>1744</v>
      </c>
      <c r="H47" s="1" t="s">
        <v>1184</v>
      </c>
      <c r="I47" s="1" t="s">
        <v>1185</v>
      </c>
      <c r="J47" s="1" t="s">
        <v>1186</v>
      </c>
      <c r="K47" s="1" t="s">
        <v>1187</v>
      </c>
      <c r="L47" s="1" t="s">
        <v>1188</v>
      </c>
      <c r="M47" s="1" t="s">
        <v>1189</v>
      </c>
      <c r="N47" s="1" t="s">
        <v>1190</v>
      </c>
      <c r="O47" s="1" t="s">
        <v>15</v>
      </c>
      <c r="P47" s="1">
        <v>2024</v>
      </c>
      <c r="Q47" s="1">
        <v>17</v>
      </c>
      <c r="R47" s="1">
        <v>10</v>
      </c>
      <c r="S47" s="1">
        <v>1823</v>
      </c>
      <c r="T47" s="1">
        <v>1840</v>
      </c>
      <c r="U47" s="1" t="s">
        <v>1191</v>
      </c>
      <c r="V47" s="1" t="str">
        <f>HYPERLINK("http://dx.doi.org/10.1007/s12273-024-1164-z","http://dx.doi.org/10.1007/s12273-024-1164-z")</f>
        <v>http://dx.doi.org/10.1007/s12273-024-1164-z</v>
      </c>
    </row>
    <row r="48" spans="1:22" ht="13.7" x14ac:dyDescent="0.4">
      <c r="A48" s="2" t="s">
        <v>63</v>
      </c>
      <c r="B48" s="2" t="s">
        <v>64</v>
      </c>
      <c r="E48" s="2"/>
      <c r="F48" s="17"/>
    </row>
    <row r="49" spans="1:22" ht="13.7" x14ac:dyDescent="0.4">
      <c r="A49" s="2"/>
      <c r="B49" s="2"/>
      <c r="C49" s="1" t="s">
        <v>749</v>
      </c>
      <c r="D49" s="1" t="s">
        <v>750</v>
      </c>
      <c r="E49" s="1" t="s">
        <v>751</v>
      </c>
      <c r="F49" s="1" t="s">
        <v>12</v>
      </c>
      <c r="G49" s="1" t="s">
        <v>262</v>
      </c>
      <c r="H49" s="1" t="s">
        <v>752</v>
      </c>
      <c r="I49" s="1" t="s">
        <v>753</v>
      </c>
      <c r="J49" s="1" t="s">
        <v>754</v>
      </c>
      <c r="K49" s="1" t="s">
        <v>755</v>
      </c>
      <c r="L49" s="1" t="s">
        <v>665</v>
      </c>
      <c r="M49" s="1" t="s">
        <v>756</v>
      </c>
      <c r="N49" s="1" t="s">
        <v>757</v>
      </c>
      <c r="O49" s="1" t="s">
        <v>20</v>
      </c>
      <c r="P49" s="1">
        <v>2024</v>
      </c>
      <c r="Q49" s="1">
        <v>17</v>
      </c>
      <c r="R49" s="1">
        <v>7</v>
      </c>
      <c r="S49" s="1">
        <v>1137</v>
      </c>
      <c r="T49" s="1">
        <v>1159</v>
      </c>
      <c r="U49" s="1" t="s">
        <v>758</v>
      </c>
      <c r="V49" s="1" t="str">
        <f>HYPERLINK("http://dx.doi.org/10.1007/s12273-024-1130-9","http://dx.doi.org/10.1007/s12273-024-1130-9")</f>
        <v>http://dx.doi.org/10.1007/s12273-024-1130-9</v>
      </c>
    </row>
    <row r="50" spans="1:22" ht="13.7" x14ac:dyDescent="0.4">
      <c r="A50" s="2"/>
      <c r="B50" s="2"/>
      <c r="C50" s="1" t="s">
        <v>2454</v>
      </c>
      <c r="D50" s="1" t="s">
        <v>2455</v>
      </c>
      <c r="E50" s="1" t="s">
        <v>2456</v>
      </c>
      <c r="F50" s="1" t="s">
        <v>12</v>
      </c>
      <c r="G50" s="1" t="s">
        <v>262</v>
      </c>
      <c r="H50" s="1" t="s">
        <v>2457</v>
      </c>
      <c r="I50" s="1" t="s">
        <v>11</v>
      </c>
      <c r="J50" s="1" t="s">
        <v>2458</v>
      </c>
      <c r="K50" s="1" t="s">
        <v>2459</v>
      </c>
      <c r="L50" s="1" t="s">
        <v>2460</v>
      </c>
      <c r="M50" s="1" t="s">
        <v>2461</v>
      </c>
      <c r="N50" s="1" t="s">
        <v>272</v>
      </c>
      <c r="O50" s="1" t="s">
        <v>16</v>
      </c>
      <c r="P50" s="1">
        <v>2025</v>
      </c>
      <c r="Q50" s="1">
        <v>18</v>
      </c>
      <c r="R50" s="1">
        <v>9</v>
      </c>
      <c r="S50" s="1">
        <v>2381</v>
      </c>
      <c r="T50" s="1">
        <v>2403</v>
      </c>
      <c r="U50" s="1" t="s">
        <v>2462</v>
      </c>
      <c r="V50" s="1" t="str">
        <f>HYPERLINK("http://dx.doi.org/10.1007/s12273-025-1318-7","http://dx.doi.org/10.1007/s12273-025-1318-7")</f>
        <v>http://dx.doi.org/10.1007/s12273-025-1318-7</v>
      </c>
    </row>
    <row r="51" spans="1:22" ht="13.7" x14ac:dyDescent="0.4">
      <c r="A51" s="2"/>
      <c r="B51" s="2"/>
      <c r="C51" s="1" t="s">
        <v>2531</v>
      </c>
      <c r="D51" s="1" t="s">
        <v>2532</v>
      </c>
      <c r="E51" s="1" t="s">
        <v>2533</v>
      </c>
      <c r="F51" s="1" t="s">
        <v>12</v>
      </c>
      <c r="G51" s="1" t="s">
        <v>262</v>
      </c>
      <c r="H51" s="1" t="s">
        <v>2534</v>
      </c>
      <c r="I51" s="1" t="s">
        <v>2535</v>
      </c>
      <c r="J51" s="1" t="s">
        <v>2536</v>
      </c>
      <c r="K51" s="1" t="s">
        <v>2537</v>
      </c>
      <c r="L51" s="1" t="s">
        <v>2538</v>
      </c>
      <c r="M51" s="1" t="s">
        <v>2539</v>
      </c>
      <c r="N51" s="1" t="s">
        <v>417</v>
      </c>
      <c r="O51" s="1" t="s">
        <v>19</v>
      </c>
      <c r="P51" s="1">
        <v>2025</v>
      </c>
      <c r="Q51" s="1">
        <v>18</v>
      </c>
      <c r="R51" s="1">
        <v>8</v>
      </c>
      <c r="S51" s="1">
        <v>2067</v>
      </c>
      <c r="T51" s="1">
        <v>2084</v>
      </c>
      <c r="U51" s="1" t="s">
        <v>2540</v>
      </c>
      <c r="V51" s="1" t="str">
        <f>HYPERLINK("http://dx.doi.org/10.1007/s12273-025-1303-1","http://dx.doi.org/10.1007/s12273-025-1303-1")</f>
        <v>http://dx.doi.org/10.1007/s12273-025-1303-1</v>
      </c>
    </row>
    <row r="52" spans="1:22" ht="13.7" x14ac:dyDescent="0.4">
      <c r="A52" s="2"/>
      <c r="B52" s="2"/>
      <c r="C52" s="1" t="s">
        <v>2646</v>
      </c>
      <c r="D52" s="1" t="s">
        <v>2647</v>
      </c>
      <c r="E52" s="1" t="s">
        <v>2648</v>
      </c>
      <c r="F52" s="1" t="s">
        <v>12</v>
      </c>
      <c r="G52" s="1" t="s">
        <v>262</v>
      </c>
      <c r="H52" s="1" t="s">
        <v>2649</v>
      </c>
      <c r="I52" s="1" t="s">
        <v>2650</v>
      </c>
      <c r="J52" s="1" t="s">
        <v>2651</v>
      </c>
      <c r="K52" s="1" t="s">
        <v>2652</v>
      </c>
      <c r="L52" s="1" t="s">
        <v>2653</v>
      </c>
      <c r="M52" s="1" t="s">
        <v>2654</v>
      </c>
      <c r="N52" s="1" t="s">
        <v>2655</v>
      </c>
      <c r="O52" s="1" t="s">
        <v>19</v>
      </c>
      <c r="P52" s="1">
        <v>2025</v>
      </c>
      <c r="Q52" s="1">
        <v>18</v>
      </c>
      <c r="R52" s="1">
        <v>8</v>
      </c>
      <c r="S52" s="1">
        <v>2201</v>
      </c>
      <c r="T52" s="1">
        <v>2218</v>
      </c>
      <c r="U52" s="1" t="s">
        <v>2656</v>
      </c>
      <c r="V52" s="1" t="str">
        <f>HYPERLINK("http://dx.doi.org/10.1007/s12273-025-1304-0","http://dx.doi.org/10.1007/s12273-025-1304-0")</f>
        <v>http://dx.doi.org/10.1007/s12273-025-1304-0</v>
      </c>
    </row>
    <row r="53" spans="1:22" ht="13.7" x14ac:dyDescent="0.4">
      <c r="A53" s="2"/>
      <c r="B53" s="2"/>
      <c r="C53" s="1" t="s">
        <v>3009</v>
      </c>
      <c r="D53" s="1" t="s">
        <v>3010</v>
      </c>
      <c r="E53" s="1" t="s">
        <v>3011</v>
      </c>
      <c r="F53" s="1" t="s">
        <v>12</v>
      </c>
      <c r="G53" s="1" t="s">
        <v>262</v>
      </c>
      <c r="H53" s="1" t="s">
        <v>3012</v>
      </c>
      <c r="I53" s="1" t="s">
        <v>3013</v>
      </c>
      <c r="J53" s="1" t="s">
        <v>3014</v>
      </c>
      <c r="K53" s="1" t="s">
        <v>3015</v>
      </c>
      <c r="L53" s="1" t="s">
        <v>284</v>
      </c>
      <c r="M53" s="1" t="s">
        <v>285</v>
      </c>
      <c r="N53" s="1" t="s">
        <v>286</v>
      </c>
      <c r="O53" s="1" t="s">
        <v>22</v>
      </c>
      <c r="P53" s="1">
        <v>2025</v>
      </c>
      <c r="Q53" s="1">
        <v>18</v>
      </c>
      <c r="R53" s="1">
        <v>6</v>
      </c>
      <c r="S53" s="1">
        <v>1435</v>
      </c>
      <c r="T53" s="1">
        <v>1451</v>
      </c>
      <c r="U53" s="1" t="s">
        <v>3016</v>
      </c>
      <c r="V53" s="1" t="str">
        <f>HYPERLINK("http://dx.doi.org/10.1007/s12273-025-1263-5","http://dx.doi.org/10.1007/s12273-025-1263-5")</f>
        <v>http://dx.doi.org/10.1007/s12273-025-1263-5</v>
      </c>
    </row>
    <row r="54" spans="1:22" ht="13.7" x14ac:dyDescent="0.4">
      <c r="A54" s="2"/>
      <c r="B54" s="2"/>
      <c r="C54" s="1" t="s">
        <v>3088</v>
      </c>
      <c r="D54" s="1" t="s">
        <v>3089</v>
      </c>
      <c r="E54" s="1" t="s">
        <v>3090</v>
      </c>
      <c r="F54" s="1" t="s">
        <v>12</v>
      </c>
      <c r="G54" s="1" t="s">
        <v>262</v>
      </c>
      <c r="H54" s="1" t="s">
        <v>3091</v>
      </c>
      <c r="I54" s="1" t="s">
        <v>3092</v>
      </c>
      <c r="J54" s="1" t="s">
        <v>3093</v>
      </c>
      <c r="K54" s="1" t="s">
        <v>3094</v>
      </c>
      <c r="L54" s="1" t="s">
        <v>3095</v>
      </c>
      <c r="M54" s="1" t="s">
        <v>3096</v>
      </c>
      <c r="N54" s="1" t="s">
        <v>3097</v>
      </c>
      <c r="O54" s="1" t="s">
        <v>21</v>
      </c>
      <c r="P54" s="1">
        <v>2025</v>
      </c>
      <c r="Q54" s="1">
        <v>18</v>
      </c>
      <c r="R54" s="1">
        <v>5</v>
      </c>
      <c r="S54" s="1">
        <v>999</v>
      </c>
      <c r="T54" s="1">
        <v>1017</v>
      </c>
      <c r="U54" s="1" t="s">
        <v>3098</v>
      </c>
      <c r="V54" s="1" t="str">
        <f>HYPERLINK("http://dx.doi.org/10.1007/s12273-025-1255-5","http://dx.doi.org/10.1007/s12273-025-1255-5")</f>
        <v>http://dx.doi.org/10.1007/s12273-025-1255-5</v>
      </c>
    </row>
    <row r="55" spans="1:22" ht="13.7" x14ac:dyDescent="0.4">
      <c r="A55" s="2"/>
      <c r="B55" s="2"/>
      <c r="C55" s="1" t="s">
        <v>3124</v>
      </c>
      <c r="D55" s="1" t="s">
        <v>3125</v>
      </c>
      <c r="E55" s="1" t="s">
        <v>3126</v>
      </c>
      <c r="F55" s="1" t="s">
        <v>12</v>
      </c>
      <c r="G55" s="1" t="s">
        <v>262</v>
      </c>
      <c r="H55" s="1" t="s">
        <v>3127</v>
      </c>
      <c r="I55" s="1" t="s">
        <v>3128</v>
      </c>
      <c r="J55" s="1" t="s">
        <v>3129</v>
      </c>
      <c r="K55" s="1" t="s">
        <v>3130</v>
      </c>
      <c r="L55" s="1" t="s">
        <v>282</v>
      </c>
      <c r="M55" s="1" t="s">
        <v>3131</v>
      </c>
      <c r="N55" s="1" t="s">
        <v>293</v>
      </c>
      <c r="O55" s="1" t="s">
        <v>21</v>
      </c>
      <c r="P55" s="1">
        <v>2025</v>
      </c>
      <c r="Q55" s="1">
        <v>18</v>
      </c>
      <c r="R55" s="1">
        <v>5</v>
      </c>
      <c r="S55" s="1">
        <v>1065</v>
      </c>
      <c r="T55" s="1">
        <v>1085</v>
      </c>
      <c r="U55" s="1" t="s">
        <v>3132</v>
      </c>
      <c r="V55" s="1" t="str">
        <f>HYPERLINK("http://dx.doi.org/10.1007/s12273-025-1251-9","http://dx.doi.org/10.1007/s12273-025-1251-9")</f>
        <v>http://dx.doi.org/10.1007/s12273-025-1251-9</v>
      </c>
    </row>
    <row r="56" spans="1:22" x14ac:dyDescent="0.4">
      <c r="C56" s="1" t="s">
        <v>3145</v>
      </c>
      <c r="D56" s="1" t="s">
        <v>3146</v>
      </c>
      <c r="E56" s="1" t="s">
        <v>3147</v>
      </c>
      <c r="F56" s="1" t="s">
        <v>12</v>
      </c>
      <c r="G56" s="1" t="s">
        <v>262</v>
      </c>
      <c r="H56" s="1" t="s">
        <v>3148</v>
      </c>
      <c r="I56" s="1" t="s">
        <v>3149</v>
      </c>
      <c r="J56" s="1" t="s">
        <v>3150</v>
      </c>
      <c r="K56" s="1" t="s">
        <v>3151</v>
      </c>
      <c r="L56" s="1" t="s">
        <v>3152</v>
      </c>
      <c r="M56" s="1" t="s">
        <v>3153</v>
      </c>
      <c r="N56" s="1" t="s">
        <v>267</v>
      </c>
      <c r="O56" s="1" t="s">
        <v>23</v>
      </c>
      <c r="P56" s="1">
        <v>2025</v>
      </c>
      <c r="Q56" s="1">
        <v>18</v>
      </c>
      <c r="R56" s="1">
        <v>4</v>
      </c>
      <c r="S56" s="1">
        <v>937</v>
      </c>
      <c r="T56" s="1">
        <v>955</v>
      </c>
      <c r="U56" s="1" t="s">
        <v>3154</v>
      </c>
      <c r="V56" s="1" t="str">
        <f>HYPERLINK("http://dx.doi.org/10.1007/s12273-025-1244-8","http://dx.doi.org/10.1007/s12273-025-1244-8")</f>
        <v>http://dx.doi.org/10.1007/s12273-025-1244-8</v>
      </c>
    </row>
    <row r="57" spans="1:22" ht="13.7" x14ac:dyDescent="0.4">
      <c r="A57" s="2"/>
      <c r="B57" s="2"/>
      <c r="C57" s="1" t="s">
        <v>3559</v>
      </c>
      <c r="D57" s="1" t="s">
        <v>3560</v>
      </c>
      <c r="E57" s="1" t="s">
        <v>3561</v>
      </c>
      <c r="F57" s="1" t="s">
        <v>12</v>
      </c>
      <c r="G57" s="1" t="s">
        <v>273</v>
      </c>
      <c r="H57" s="1" t="s">
        <v>3562</v>
      </c>
      <c r="I57" s="1" t="s">
        <v>3563</v>
      </c>
      <c r="J57" s="1" t="s">
        <v>3564</v>
      </c>
      <c r="K57" s="1" t="s">
        <v>3565</v>
      </c>
      <c r="L57" s="1" t="s">
        <v>3566</v>
      </c>
      <c r="M57" s="1" t="s">
        <v>3567</v>
      </c>
      <c r="N57" s="1" t="s">
        <v>357</v>
      </c>
      <c r="O57" s="1" t="s">
        <v>23</v>
      </c>
      <c r="P57" s="1">
        <v>2025</v>
      </c>
      <c r="Q57" s="1">
        <v>18</v>
      </c>
      <c r="R57" s="1">
        <v>4</v>
      </c>
      <c r="S57" s="1">
        <v>721</v>
      </c>
      <c r="T57" s="1">
        <v>746</v>
      </c>
      <c r="U57" s="1" t="s">
        <v>3568</v>
      </c>
      <c r="V57" s="1" t="str">
        <f>HYPERLINK("http://dx.doi.org/10.1007/s12273-025-1230-1","http://dx.doi.org/10.1007/s12273-025-1230-1")</f>
        <v>http://dx.doi.org/10.1007/s12273-025-1230-1</v>
      </c>
    </row>
    <row r="58" spans="1:22" ht="13.7" x14ac:dyDescent="0.5">
      <c r="A58" s="2" t="s">
        <v>1767</v>
      </c>
      <c r="B58" s="2" t="s">
        <v>212</v>
      </c>
      <c r="E58" s="4"/>
      <c r="F58" s="10"/>
    </row>
    <row r="59" spans="1:22" ht="13.7" x14ac:dyDescent="0.4">
      <c r="A59" s="2"/>
      <c r="B59" s="2"/>
      <c r="C59" s="1" t="s">
        <v>409</v>
      </c>
      <c r="D59" s="1" t="s">
        <v>410</v>
      </c>
      <c r="E59" s="1" t="s">
        <v>411</v>
      </c>
      <c r="F59" s="1" t="s">
        <v>12</v>
      </c>
      <c r="G59" s="1" t="s">
        <v>262</v>
      </c>
      <c r="H59" s="1" t="s">
        <v>412</v>
      </c>
      <c r="I59" s="1" t="s">
        <v>413</v>
      </c>
      <c r="J59" s="1" t="s">
        <v>414</v>
      </c>
      <c r="K59" s="1" t="s">
        <v>415</v>
      </c>
      <c r="L59" s="1" t="s">
        <v>281</v>
      </c>
      <c r="M59" s="1" t="s">
        <v>416</v>
      </c>
      <c r="N59" s="1" t="s">
        <v>417</v>
      </c>
      <c r="O59" s="1" t="s">
        <v>23</v>
      </c>
      <c r="P59" s="1">
        <v>2024</v>
      </c>
      <c r="Q59" s="1">
        <v>17</v>
      </c>
      <c r="R59" s="1">
        <v>4</v>
      </c>
      <c r="S59" s="1">
        <v>591</v>
      </c>
      <c r="T59" s="1">
        <v>605</v>
      </c>
      <c r="U59" s="1" t="s">
        <v>418</v>
      </c>
      <c r="V59" s="1" t="str">
        <f>HYPERLINK("http://dx.doi.org/10.1007/s12273-024-1101-1","http://dx.doi.org/10.1007/s12273-024-1101-1")</f>
        <v>http://dx.doi.org/10.1007/s12273-024-1101-1</v>
      </c>
    </row>
    <row r="60" spans="1:22" ht="13.7" x14ac:dyDescent="0.4">
      <c r="A60" s="2"/>
      <c r="B60" s="2"/>
      <c r="C60" s="1" t="s">
        <v>517</v>
      </c>
      <c r="D60" s="1" t="s">
        <v>518</v>
      </c>
      <c r="E60" s="1" t="s">
        <v>519</v>
      </c>
      <c r="F60" s="1" t="s">
        <v>12</v>
      </c>
      <c r="G60" s="1" t="s">
        <v>262</v>
      </c>
      <c r="H60" s="1" t="s">
        <v>520</v>
      </c>
      <c r="I60" s="1" t="s">
        <v>521</v>
      </c>
      <c r="J60" s="1" t="s">
        <v>522</v>
      </c>
      <c r="K60" s="1" t="s">
        <v>523</v>
      </c>
      <c r="L60" s="1" t="s">
        <v>524</v>
      </c>
      <c r="M60" s="1" t="s">
        <v>525</v>
      </c>
      <c r="N60" s="1" t="s">
        <v>526</v>
      </c>
      <c r="O60" s="1" t="s">
        <v>21</v>
      </c>
      <c r="P60" s="1">
        <v>2024</v>
      </c>
      <c r="Q60" s="1">
        <v>17</v>
      </c>
      <c r="R60" s="1">
        <v>5</v>
      </c>
      <c r="S60" s="1">
        <v>771</v>
      </c>
      <c r="T60" s="1">
        <v>784</v>
      </c>
      <c r="U60" s="1" t="s">
        <v>527</v>
      </c>
      <c r="V60" s="1" t="str">
        <f>HYPERLINK("http://dx.doi.org/10.1007/s12273-024-1102-0","http://dx.doi.org/10.1007/s12273-024-1102-0")</f>
        <v>http://dx.doi.org/10.1007/s12273-024-1102-0</v>
      </c>
    </row>
    <row r="61" spans="1:22" ht="13.7" x14ac:dyDescent="0.4">
      <c r="A61" s="2" t="s">
        <v>1768</v>
      </c>
      <c r="B61" s="2" t="s">
        <v>1780</v>
      </c>
    </row>
    <row r="62" spans="1:22" ht="13.7" x14ac:dyDescent="0.4">
      <c r="A62" s="2"/>
      <c r="B62" s="2"/>
      <c r="C62" s="1" t="s">
        <v>1459</v>
      </c>
      <c r="D62" s="1" t="s">
        <v>1460</v>
      </c>
      <c r="E62" s="1" t="s">
        <v>1779</v>
      </c>
      <c r="F62" s="1" t="s">
        <v>12</v>
      </c>
      <c r="G62" s="1" t="s">
        <v>262</v>
      </c>
      <c r="H62" s="1" t="s">
        <v>1462</v>
      </c>
      <c r="I62" s="1" t="s">
        <v>1463</v>
      </c>
      <c r="J62" s="1" t="s">
        <v>1464</v>
      </c>
      <c r="K62" s="1" t="s">
        <v>1465</v>
      </c>
      <c r="L62" s="1" t="s">
        <v>1466</v>
      </c>
      <c r="M62" s="1" t="s">
        <v>1467</v>
      </c>
      <c r="N62" s="1" t="s">
        <v>1468</v>
      </c>
      <c r="O62" s="1" t="s">
        <v>27</v>
      </c>
      <c r="P62" s="1">
        <v>2024</v>
      </c>
      <c r="Q62" s="1">
        <v>17</v>
      </c>
      <c r="R62" s="1">
        <v>12</v>
      </c>
      <c r="S62" s="1">
        <v>2281</v>
      </c>
      <c r="T62" s="1">
        <v>2295</v>
      </c>
      <c r="U62" s="1" t="s">
        <v>1469</v>
      </c>
      <c r="V62" s="1" t="str">
        <f>HYPERLINK("http://dx.doi.org/10.1007/s12273-024-1194-6","http://dx.doi.org/10.1007/s12273-024-1194-6")</f>
        <v>http://dx.doi.org/10.1007/s12273-024-1194-6</v>
      </c>
    </row>
    <row r="63" spans="1:22" x14ac:dyDescent="0.4">
      <c r="C63" s="1" t="s">
        <v>2169</v>
      </c>
      <c r="D63" s="1" t="s">
        <v>2170</v>
      </c>
      <c r="E63" s="1" t="s">
        <v>2171</v>
      </c>
      <c r="F63" s="1" t="s">
        <v>12</v>
      </c>
      <c r="G63" s="1" t="s">
        <v>262</v>
      </c>
      <c r="H63" s="1" t="s">
        <v>2172</v>
      </c>
      <c r="I63" s="1" t="s">
        <v>2173</v>
      </c>
      <c r="J63" s="1" t="s">
        <v>2174</v>
      </c>
      <c r="K63" s="1" t="s">
        <v>2175</v>
      </c>
      <c r="L63" s="1" t="s">
        <v>2176</v>
      </c>
      <c r="M63" s="1" t="s">
        <v>2177</v>
      </c>
      <c r="N63" s="1" t="s">
        <v>2178</v>
      </c>
      <c r="O63" s="1" t="s">
        <v>15</v>
      </c>
      <c r="P63" s="1">
        <v>2025</v>
      </c>
      <c r="Q63" s="1">
        <v>18</v>
      </c>
      <c r="R63" s="1">
        <v>10</v>
      </c>
      <c r="S63" s="1">
        <v>2807</v>
      </c>
      <c r="T63" s="1">
        <v>2824</v>
      </c>
      <c r="U63" s="1" t="s">
        <v>2179</v>
      </c>
      <c r="V63" s="1" t="str">
        <f>HYPERLINK("http://dx.doi.org/10.1007/s12273-025-1340-9","http://dx.doi.org/10.1007/s12273-025-1340-9")</f>
        <v>http://dx.doi.org/10.1007/s12273-025-1340-9</v>
      </c>
    </row>
  </sheetData>
  <phoneticPr fontId="2" type="noConversion"/>
  <conditionalFormatting sqref="U1">
    <cfRule type="duplicateValues" dxfId="434" priority="33" stopIfTrue="1"/>
  </conditionalFormatting>
  <conditionalFormatting sqref="W1">
    <cfRule type="duplicateValues" dxfId="433" priority="34" stopIfTrue="1"/>
    <cfRule type="duplicateValues" dxfId="432" priority="35" stopIfTrue="1"/>
  </conditionalFormatting>
  <conditionalFormatting sqref="U3">
    <cfRule type="duplicateValues" dxfId="431" priority="45" stopIfTrue="1"/>
  </conditionalFormatting>
  <conditionalFormatting sqref="U4">
    <cfRule type="duplicateValues" dxfId="430" priority="41" stopIfTrue="1"/>
  </conditionalFormatting>
  <conditionalFormatting sqref="U5">
    <cfRule type="duplicateValues" dxfId="429" priority="38" stopIfTrue="1"/>
  </conditionalFormatting>
  <conditionalFormatting sqref="U6">
    <cfRule type="duplicateValues" dxfId="428" priority="31" stopIfTrue="1"/>
  </conditionalFormatting>
  <conditionalFormatting sqref="U7">
    <cfRule type="duplicateValues" dxfId="427" priority="29" stopIfTrue="1"/>
  </conditionalFormatting>
  <conditionalFormatting sqref="U8">
    <cfRule type="duplicateValues" dxfId="426" priority="27" stopIfTrue="1"/>
  </conditionalFormatting>
  <conditionalFormatting sqref="U9">
    <cfRule type="duplicateValues" dxfId="425" priority="25" stopIfTrue="1"/>
  </conditionalFormatting>
  <conditionalFormatting sqref="U10:U11">
    <cfRule type="duplicateValues" dxfId="424" priority="7" stopIfTrue="1"/>
  </conditionalFormatting>
  <conditionalFormatting sqref="U13">
    <cfRule type="duplicateValues" dxfId="423" priority="43" stopIfTrue="1"/>
  </conditionalFormatting>
  <conditionalFormatting sqref="U14">
    <cfRule type="duplicateValues" dxfId="422" priority="42" stopIfTrue="1"/>
  </conditionalFormatting>
  <conditionalFormatting sqref="U15">
    <cfRule type="duplicateValues" dxfId="421" priority="30" stopIfTrue="1"/>
  </conditionalFormatting>
  <conditionalFormatting sqref="U16">
    <cfRule type="duplicateValues" dxfId="420" priority="20" stopIfTrue="1"/>
  </conditionalFormatting>
  <conditionalFormatting sqref="U17">
    <cfRule type="duplicateValues" dxfId="419" priority="19" stopIfTrue="1"/>
  </conditionalFormatting>
  <conditionalFormatting sqref="U18">
    <cfRule type="duplicateValues" dxfId="418" priority="17" stopIfTrue="1"/>
  </conditionalFormatting>
  <conditionalFormatting sqref="U19">
    <cfRule type="duplicateValues" dxfId="417" priority="15" stopIfTrue="1"/>
  </conditionalFormatting>
  <conditionalFormatting sqref="U20">
    <cfRule type="duplicateValues" dxfId="416" priority="13" stopIfTrue="1"/>
  </conditionalFormatting>
  <conditionalFormatting sqref="U21">
    <cfRule type="duplicateValues" dxfId="415" priority="9" stopIfTrue="1"/>
  </conditionalFormatting>
  <conditionalFormatting sqref="U22 U24">
    <cfRule type="duplicateValues" dxfId="414" priority="6" stopIfTrue="1"/>
  </conditionalFormatting>
  <conditionalFormatting sqref="U23">
    <cfRule type="duplicateValues" dxfId="413" priority="3" stopIfTrue="1"/>
  </conditionalFormatting>
  <conditionalFormatting sqref="U26">
    <cfRule type="duplicateValues" dxfId="412" priority="39" stopIfTrue="1"/>
  </conditionalFormatting>
  <conditionalFormatting sqref="U27">
    <cfRule type="duplicateValues" dxfId="411" priority="37" stopIfTrue="1"/>
  </conditionalFormatting>
  <conditionalFormatting sqref="U28">
    <cfRule type="duplicateValues" dxfId="410" priority="36" stopIfTrue="1"/>
  </conditionalFormatting>
  <conditionalFormatting sqref="U29:U30">
    <cfRule type="duplicateValues" dxfId="409" priority="23" stopIfTrue="1"/>
  </conditionalFormatting>
  <conditionalFormatting sqref="U32">
    <cfRule type="duplicateValues" dxfId="408" priority="49" stopIfTrue="1"/>
  </conditionalFormatting>
  <conditionalFormatting sqref="U33">
    <cfRule type="duplicateValues" dxfId="407" priority="47" stopIfTrue="1"/>
  </conditionalFormatting>
  <conditionalFormatting sqref="U34">
    <cfRule type="duplicateValues" dxfId="406" priority="32" stopIfTrue="1"/>
  </conditionalFormatting>
  <conditionalFormatting sqref="U35 U37">
    <cfRule type="duplicateValues" dxfId="405" priority="22" stopIfTrue="1"/>
  </conditionalFormatting>
  <conditionalFormatting sqref="U36">
    <cfRule type="duplicateValues" dxfId="404" priority="18" stopIfTrue="1"/>
  </conditionalFormatting>
  <conditionalFormatting sqref="U39">
    <cfRule type="duplicateValues" dxfId="403" priority="52" stopIfTrue="1"/>
  </conditionalFormatting>
  <conditionalFormatting sqref="U40">
    <cfRule type="duplicateValues" dxfId="402" priority="10" stopIfTrue="1"/>
  </conditionalFormatting>
  <conditionalFormatting sqref="U41">
    <cfRule type="duplicateValues" dxfId="401" priority="46" stopIfTrue="1"/>
  </conditionalFormatting>
  <conditionalFormatting sqref="U42">
    <cfRule type="duplicateValues" dxfId="400" priority="8" stopIfTrue="1"/>
  </conditionalFormatting>
  <conditionalFormatting sqref="U43">
    <cfRule type="duplicateValues" dxfId="399" priority="4" stopIfTrue="1"/>
  </conditionalFormatting>
  <conditionalFormatting sqref="U44:U45">
    <cfRule type="duplicateValues" dxfId="398" priority="2" stopIfTrue="1"/>
  </conditionalFormatting>
  <conditionalFormatting sqref="U47">
    <cfRule type="duplicateValues" dxfId="397" priority="44" stopIfTrue="1"/>
  </conditionalFormatting>
  <conditionalFormatting sqref="U49">
    <cfRule type="duplicateValues" dxfId="396" priority="48" stopIfTrue="1"/>
  </conditionalFormatting>
  <conditionalFormatting sqref="U50">
    <cfRule type="duplicateValues" dxfId="395" priority="26" stopIfTrue="1"/>
  </conditionalFormatting>
  <conditionalFormatting sqref="U51">
    <cfRule type="duplicateValues" dxfId="394" priority="24" stopIfTrue="1"/>
  </conditionalFormatting>
  <conditionalFormatting sqref="U52">
    <cfRule type="duplicateValues" dxfId="393" priority="21" stopIfTrue="1"/>
  </conditionalFormatting>
  <conditionalFormatting sqref="U53">
    <cfRule type="duplicateValues" dxfId="392" priority="16" stopIfTrue="1"/>
  </conditionalFormatting>
  <conditionalFormatting sqref="U54">
    <cfRule type="duplicateValues" dxfId="391" priority="14" stopIfTrue="1"/>
  </conditionalFormatting>
  <conditionalFormatting sqref="U55">
    <cfRule type="duplicateValues" dxfId="390" priority="12" stopIfTrue="1"/>
  </conditionalFormatting>
  <conditionalFormatting sqref="U56">
    <cfRule type="duplicateValues" dxfId="389" priority="11" stopIfTrue="1"/>
  </conditionalFormatting>
  <conditionalFormatting sqref="U57">
    <cfRule type="duplicateValues" dxfId="388" priority="1" stopIfTrue="1"/>
  </conditionalFormatting>
  <conditionalFormatting sqref="U59">
    <cfRule type="duplicateValues" dxfId="387" priority="51" stopIfTrue="1"/>
  </conditionalFormatting>
  <conditionalFormatting sqref="U60">
    <cfRule type="duplicateValues" dxfId="386" priority="50" stopIfTrue="1"/>
  </conditionalFormatting>
  <conditionalFormatting sqref="U62">
    <cfRule type="duplicateValues" dxfId="385" priority="40" stopIfTrue="1"/>
  </conditionalFormatting>
  <conditionalFormatting sqref="U63">
    <cfRule type="duplicateValues" dxfId="384" priority="28" stopIfTrue="1"/>
  </conditionalFormatting>
  <conditionalFormatting sqref="U66">
    <cfRule type="duplicateValues" dxfId="383" priority="5" stopIfTrue="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2"/>
  <sheetViews>
    <sheetView topLeftCell="A28" workbookViewId="0">
      <selection activeCell="B13" sqref="B13"/>
    </sheetView>
  </sheetViews>
  <sheetFormatPr defaultColWidth="9.1171875" defaultRowHeight="12.7" x14ac:dyDescent="0.4"/>
  <cols>
    <col min="1" max="1" width="15.29296875" style="1" customWidth="1"/>
    <col min="2" max="2" width="17.41015625" style="1" customWidth="1"/>
    <col min="3" max="3" width="16.5859375" style="1" customWidth="1"/>
    <col min="4" max="4" width="18" style="1" customWidth="1"/>
    <col min="5" max="5" width="16.5859375" style="1" customWidth="1"/>
    <col min="6" max="6" width="18" style="1" customWidth="1"/>
    <col min="7" max="16384" width="9.1171875" style="1"/>
  </cols>
  <sheetData>
    <row r="1" spans="1:22" s="9" customFormat="1" ht="38" x14ac:dyDescent="0.4">
      <c r="C1" s="16" t="s">
        <v>162</v>
      </c>
      <c r="D1" s="16" t="s">
        <v>0</v>
      </c>
      <c r="E1" s="16" t="s">
        <v>161</v>
      </c>
      <c r="F1" s="16" t="s">
        <v>1</v>
      </c>
      <c r="G1" s="16" t="s">
        <v>255</v>
      </c>
      <c r="H1" s="16" t="s">
        <v>163</v>
      </c>
      <c r="I1" s="16" t="s">
        <v>254</v>
      </c>
      <c r="J1" s="16" t="s">
        <v>164</v>
      </c>
      <c r="K1" s="16" t="s">
        <v>256</v>
      </c>
      <c r="L1" s="16" t="s">
        <v>257</v>
      </c>
      <c r="M1" s="16" t="s">
        <v>258</v>
      </c>
      <c r="N1" s="16" t="s">
        <v>259</v>
      </c>
      <c r="O1" s="16" t="s">
        <v>2</v>
      </c>
      <c r="P1" s="16" t="s">
        <v>3</v>
      </c>
      <c r="Q1" s="16" t="s">
        <v>4</v>
      </c>
      <c r="R1" s="16" t="s">
        <v>5</v>
      </c>
      <c r="S1" s="16" t="s">
        <v>6</v>
      </c>
      <c r="T1" s="16" t="s">
        <v>7</v>
      </c>
      <c r="U1" s="16" t="s">
        <v>8</v>
      </c>
      <c r="V1" s="16" t="s">
        <v>9</v>
      </c>
    </row>
    <row r="2" spans="1:22" ht="13.7" x14ac:dyDescent="0.5">
      <c r="A2" s="4" t="s">
        <v>67</v>
      </c>
      <c r="B2" s="10" t="s">
        <v>68</v>
      </c>
      <c r="E2" s="4"/>
      <c r="F2" s="10"/>
    </row>
    <row r="3" spans="1:22" x14ac:dyDescent="0.4">
      <c r="C3" s="1" t="s">
        <v>979</v>
      </c>
      <c r="D3" s="1" t="s">
        <v>980</v>
      </c>
      <c r="E3" s="1" t="s">
        <v>981</v>
      </c>
      <c r="F3" s="1" t="s">
        <v>12</v>
      </c>
      <c r="G3" s="1" t="s">
        <v>262</v>
      </c>
      <c r="H3" s="1" t="s">
        <v>982</v>
      </c>
      <c r="I3" s="1" t="s">
        <v>983</v>
      </c>
      <c r="J3" s="1" t="s">
        <v>984</v>
      </c>
      <c r="K3" s="1" t="s">
        <v>985</v>
      </c>
      <c r="L3" s="1" t="s">
        <v>665</v>
      </c>
      <c r="M3" s="1" t="s">
        <v>986</v>
      </c>
      <c r="N3" s="1" t="s">
        <v>987</v>
      </c>
      <c r="O3" s="1" t="s">
        <v>16</v>
      </c>
      <c r="P3" s="1">
        <v>2024</v>
      </c>
      <c r="Q3" s="1">
        <v>17</v>
      </c>
      <c r="R3" s="1">
        <v>9</v>
      </c>
      <c r="S3" s="1">
        <v>1531</v>
      </c>
      <c r="T3" s="1">
        <v>1539</v>
      </c>
      <c r="U3" s="1" t="s">
        <v>988</v>
      </c>
      <c r="V3" s="1" t="str">
        <f>HYPERLINK("http://dx.doi.org/10.1007/s12273-024-1163-0","http://dx.doi.org/10.1007/s12273-024-1163-0")</f>
        <v>http://dx.doi.org/10.1007/s12273-024-1163-0</v>
      </c>
    </row>
    <row r="4" spans="1:22" ht="13.7" x14ac:dyDescent="0.4">
      <c r="A4" s="2"/>
      <c r="B4" s="2"/>
      <c r="C4" s="1" t="s">
        <v>1880</v>
      </c>
      <c r="D4" s="1" t="s">
        <v>1881</v>
      </c>
      <c r="E4" s="1" t="s">
        <v>1882</v>
      </c>
      <c r="F4" s="1" t="s">
        <v>12</v>
      </c>
      <c r="G4" s="1" t="s">
        <v>262</v>
      </c>
      <c r="H4" s="1" t="s">
        <v>1883</v>
      </c>
      <c r="I4" s="1" t="s">
        <v>1884</v>
      </c>
      <c r="J4" s="1" t="s">
        <v>1885</v>
      </c>
      <c r="K4" s="1" t="s">
        <v>1886</v>
      </c>
      <c r="L4" s="1" t="s">
        <v>1887</v>
      </c>
      <c r="M4" s="1" t="s">
        <v>1888</v>
      </c>
      <c r="N4" s="1" t="s">
        <v>1889</v>
      </c>
      <c r="O4" s="1" t="s">
        <v>27</v>
      </c>
      <c r="P4" s="1">
        <v>2025</v>
      </c>
      <c r="Q4" s="1">
        <v>18</v>
      </c>
      <c r="R4" s="1">
        <v>12</v>
      </c>
      <c r="S4" s="1">
        <v>3247</v>
      </c>
      <c r="T4" s="1">
        <v>3260</v>
      </c>
      <c r="U4" s="1" t="s">
        <v>1890</v>
      </c>
      <c r="V4" s="1" t="str">
        <f>HYPERLINK("http://dx.doi.org/10.1007/s12273-025-1378-8","http://dx.doi.org/10.1007/s12273-025-1378-8")</f>
        <v>http://dx.doi.org/10.1007/s12273-025-1378-8</v>
      </c>
    </row>
    <row r="5" spans="1:22" x14ac:dyDescent="0.4">
      <c r="C5" s="1" t="s">
        <v>1951</v>
      </c>
      <c r="D5" s="1" t="s">
        <v>1952</v>
      </c>
      <c r="E5" s="1" t="s">
        <v>1953</v>
      </c>
      <c r="F5" s="1" t="s">
        <v>12</v>
      </c>
      <c r="G5" s="1" t="s">
        <v>262</v>
      </c>
      <c r="H5" s="1" t="s">
        <v>1954</v>
      </c>
      <c r="I5" s="1" t="s">
        <v>1955</v>
      </c>
      <c r="J5" s="1" t="s">
        <v>1956</v>
      </c>
      <c r="K5" s="1" t="s">
        <v>1957</v>
      </c>
      <c r="L5" s="1" t="s">
        <v>1958</v>
      </c>
      <c r="M5" s="1" t="s">
        <v>1959</v>
      </c>
      <c r="N5" s="1" t="s">
        <v>1960</v>
      </c>
      <c r="O5" s="1" t="s">
        <v>27</v>
      </c>
      <c r="P5" s="1">
        <v>2025</v>
      </c>
      <c r="Q5" s="1">
        <v>18</v>
      </c>
      <c r="R5" s="1">
        <v>12</v>
      </c>
      <c r="S5" s="1">
        <v>3261</v>
      </c>
      <c r="T5" s="1">
        <v>3274</v>
      </c>
      <c r="U5" s="1" t="s">
        <v>1961</v>
      </c>
      <c r="V5" s="1" t="str">
        <f>HYPERLINK("http://dx.doi.org/10.1007/s12273-025-1381-0","http://dx.doi.org/10.1007/s12273-025-1381-0")</f>
        <v>http://dx.doi.org/10.1007/s12273-025-1381-0</v>
      </c>
    </row>
    <row r="6" spans="1:22" x14ac:dyDescent="0.4">
      <c r="C6" s="1" t="s">
        <v>2133</v>
      </c>
      <c r="D6" s="1" t="s">
        <v>2134</v>
      </c>
      <c r="E6" s="1" t="s">
        <v>2135</v>
      </c>
      <c r="F6" s="1" t="s">
        <v>12</v>
      </c>
      <c r="G6" s="1" t="s">
        <v>262</v>
      </c>
      <c r="H6" s="1" t="s">
        <v>2136</v>
      </c>
      <c r="I6" s="1" t="s">
        <v>2137</v>
      </c>
      <c r="J6" s="1" t="s">
        <v>2138</v>
      </c>
      <c r="K6" s="1" t="s">
        <v>2139</v>
      </c>
      <c r="L6" s="1" t="s">
        <v>2140</v>
      </c>
      <c r="M6" s="1" t="s">
        <v>2141</v>
      </c>
      <c r="N6" s="1" t="s">
        <v>2142</v>
      </c>
      <c r="O6" s="1" t="s">
        <v>15</v>
      </c>
      <c r="P6" s="1">
        <v>2025</v>
      </c>
      <c r="Q6" s="1">
        <v>18</v>
      </c>
      <c r="R6" s="1">
        <v>10</v>
      </c>
      <c r="S6" s="1">
        <v>2625</v>
      </c>
      <c r="T6" s="1">
        <v>2641</v>
      </c>
      <c r="U6" s="1" t="s">
        <v>2143</v>
      </c>
      <c r="V6" s="1" t="str">
        <f>HYPERLINK("http://dx.doi.org/10.1007/s12273-025-1325-8","http://dx.doi.org/10.1007/s12273-025-1325-8")</f>
        <v>http://dx.doi.org/10.1007/s12273-025-1325-8</v>
      </c>
    </row>
    <row r="7" spans="1:22" x14ac:dyDescent="0.4">
      <c r="C7" s="1" t="s">
        <v>2157</v>
      </c>
      <c r="D7" s="1" t="s">
        <v>2158</v>
      </c>
      <c r="E7" s="1" t="s">
        <v>2159</v>
      </c>
      <c r="F7" s="1" t="s">
        <v>12</v>
      </c>
      <c r="G7" s="1" t="s">
        <v>262</v>
      </c>
      <c r="H7" s="1" t="s">
        <v>2160</v>
      </c>
      <c r="I7" s="1" t="s">
        <v>2161</v>
      </c>
      <c r="J7" s="1" t="s">
        <v>2162</v>
      </c>
      <c r="K7" s="1" t="s">
        <v>2163</v>
      </c>
      <c r="L7" s="1" t="s">
        <v>2164</v>
      </c>
      <c r="M7" s="1" t="s">
        <v>2165</v>
      </c>
      <c r="N7" s="1" t="s">
        <v>2166</v>
      </c>
      <c r="O7" s="1" t="s">
        <v>16</v>
      </c>
      <c r="P7" s="1">
        <v>2025</v>
      </c>
      <c r="Q7" s="1">
        <v>18</v>
      </c>
      <c r="R7" s="1">
        <v>9</v>
      </c>
      <c r="S7" s="1">
        <v>2515</v>
      </c>
      <c r="T7" s="1">
        <v>2530</v>
      </c>
      <c r="U7" s="1" t="s">
        <v>2167</v>
      </c>
      <c r="V7" s="1" t="str">
        <f>HYPERLINK("http://dx.doi.org/10.1007/s12273-025-1349-0","http://dx.doi.org/10.1007/s12273-025-1349-0")</f>
        <v>http://dx.doi.org/10.1007/s12273-025-1349-0</v>
      </c>
    </row>
    <row r="8" spans="1:22" x14ac:dyDescent="0.4">
      <c r="C8" s="1" t="s">
        <v>2193</v>
      </c>
      <c r="D8" s="1" t="s">
        <v>2194</v>
      </c>
      <c r="E8" s="1" t="s">
        <v>2195</v>
      </c>
      <c r="F8" s="1" t="s">
        <v>12</v>
      </c>
      <c r="G8" s="1" t="s">
        <v>262</v>
      </c>
      <c r="H8" s="1" t="s">
        <v>2196</v>
      </c>
      <c r="I8" s="1" t="s">
        <v>2197</v>
      </c>
      <c r="J8" s="1" t="s">
        <v>2198</v>
      </c>
      <c r="K8" s="1" t="s">
        <v>2199</v>
      </c>
      <c r="L8" s="1" t="s">
        <v>291</v>
      </c>
      <c r="M8" s="1" t="s">
        <v>2200</v>
      </c>
      <c r="N8" s="1" t="s">
        <v>2201</v>
      </c>
      <c r="O8" s="1" t="s">
        <v>15</v>
      </c>
      <c r="P8" s="1">
        <v>2025</v>
      </c>
      <c r="Q8" s="1">
        <v>18</v>
      </c>
      <c r="R8" s="1">
        <v>10</v>
      </c>
      <c r="S8" s="1">
        <v>2643</v>
      </c>
      <c r="T8" s="1">
        <v>2655</v>
      </c>
      <c r="U8" s="1" t="s">
        <v>2202</v>
      </c>
      <c r="V8" s="1" t="str">
        <f>HYPERLINK("http://dx.doi.org/10.1007/s12273-025-1339-2","http://dx.doi.org/10.1007/s12273-025-1339-2")</f>
        <v>http://dx.doi.org/10.1007/s12273-025-1339-2</v>
      </c>
    </row>
    <row r="9" spans="1:22" x14ac:dyDescent="0.4">
      <c r="C9" s="1" t="s">
        <v>2265</v>
      </c>
      <c r="D9" s="1" t="s">
        <v>2266</v>
      </c>
      <c r="E9" s="1" t="s">
        <v>2267</v>
      </c>
      <c r="F9" s="1" t="s">
        <v>12</v>
      </c>
      <c r="G9" s="1" t="s">
        <v>262</v>
      </c>
      <c r="H9" s="1" t="s">
        <v>2268</v>
      </c>
      <c r="I9" s="1" t="s">
        <v>2269</v>
      </c>
      <c r="J9" s="1" t="s">
        <v>2270</v>
      </c>
      <c r="K9" s="1" t="s">
        <v>2271</v>
      </c>
      <c r="L9" s="1" t="s">
        <v>2272</v>
      </c>
      <c r="M9" s="1" t="s">
        <v>2273</v>
      </c>
      <c r="N9" s="1" t="s">
        <v>2274</v>
      </c>
      <c r="O9" s="1" t="s">
        <v>16</v>
      </c>
      <c r="P9" s="1">
        <v>2025</v>
      </c>
      <c r="Q9" s="1">
        <v>18</v>
      </c>
      <c r="R9" s="1">
        <v>9</v>
      </c>
      <c r="S9" s="1">
        <v>2405</v>
      </c>
      <c r="T9" s="1">
        <v>2416</v>
      </c>
      <c r="U9" s="1" t="s">
        <v>2275</v>
      </c>
      <c r="V9" s="1" t="str">
        <f>HYPERLINK("http://dx.doi.org/10.1007/s12273-025-1330-y","http://dx.doi.org/10.1007/s12273-025-1330-y")</f>
        <v>http://dx.doi.org/10.1007/s12273-025-1330-y</v>
      </c>
    </row>
    <row r="10" spans="1:22" x14ac:dyDescent="0.4">
      <c r="C10" s="1" t="s">
        <v>2542</v>
      </c>
      <c r="D10" s="1" t="s">
        <v>2543</v>
      </c>
      <c r="E10" s="1" t="s">
        <v>2544</v>
      </c>
      <c r="F10" s="1" t="s">
        <v>12</v>
      </c>
      <c r="G10" s="1" t="s">
        <v>262</v>
      </c>
      <c r="H10" s="1" t="s">
        <v>2545</v>
      </c>
      <c r="I10" s="1" t="s">
        <v>2546</v>
      </c>
      <c r="J10" s="1" t="s">
        <v>2547</v>
      </c>
      <c r="K10" s="1" t="s">
        <v>2548</v>
      </c>
      <c r="L10" s="1" t="s">
        <v>2549</v>
      </c>
      <c r="M10" s="1" t="s">
        <v>2550</v>
      </c>
      <c r="N10" s="1" t="s">
        <v>2551</v>
      </c>
      <c r="O10" s="1" t="s">
        <v>19</v>
      </c>
      <c r="P10" s="1">
        <v>2025</v>
      </c>
      <c r="Q10" s="1">
        <v>18</v>
      </c>
      <c r="R10" s="1">
        <v>8</v>
      </c>
      <c r="S10" s="1">
        <v>2085</v>
      </c>
      <c r="T10" s="1">
        <v>2092</v>
      </c>
      <c r="U10" s="1" t="s">
        <v>2552</v>
      </c>
      <c r="V10" s="1" t="str">
        <f>HYPERLINK("http://dx.doi.org/10.1007/s12273-025-1309-8","http://dx.doi.org/10.1007/s12273-025-1309-8")</f>
        <v>http://dx.doi.org/10.1007/s12273-025-1309-8</v>
      </c>
    </row>
    <row r="11" spans="1:22" x14ac:dyDescent="0.4">
      <c r="C11" s="1" t="s">
        <v>2623</v>
      </c>
      <c r="D11" s="1" t="s">
        <v>2624</v>
      </c>
      <c r="E11" s="1" t="s">
        <v>2625</v>
      </c>
      <c r="F11" s="1" t="s">
        <v>12</v>
      </c>
      <c r="G11" s="1" t="s">
        <v>262</v>
      </c>
      <c r="H11" s="1" t="s">
        <v>2626</v>
      </c>
      <c r="I11" s="1" t="s">
        <v>2627</v>
      </c>
      <c r="J11" s="1" t="s">
        <v>2628</v>
      </c>
      <c r="K11" s="1" t="s">
        <v>2629</v>
      </c>
      <c r="L11" s="1" t="s">
        <v>2630</v>
      </c>
      <c r="M11" s="1" t="s">
        <v>2631</v>
      </c>
      <c r="N11" s="1" t="s">
        <v>2632</v>
      </c>
      <c r="O11" s="1" t="s">
        <v>19</v>
      </c>
      <c r="P11" s="1">
        <v>2025</v>
      </c>
      <c r="Q11" s="1">
        <v>18</v>
      </c>
      <c r="R11" s="1">
        <v>8</v>
      </c>
      <c r="S11" s="1">
        <v>2039</v>
      </c>
      <c r="T11" s="1">
        <v>2055</v>
      </c>
      <c r="U11" s="1" t="s">
        <v>2633</v>
      </c>
      <c r="V11" s="1" t="str">
        <f>HYPERLINK("http://dx.doi.org/10.1007/s12273-025-1295-x","http://dx.doi.org/10.1007/s12273-025-1295-x")</f>
        <v>http://dx.doi.org/10.1007/s12273-025-1295-x</v>
      </c>
    </row>
    <row r="12" spans="1:22" ht="13.7" x14ac:dyDescent="0.4">
      <c r="A12" s="2"/>
      <c r="B12" s="2"/>
      <c r="C12" s="1" t="s">
        <v>2658</v>
      </c>
      <c r="D12" s="1" t="s">
        <v>2659</v>
      </c>
      <c r="E12" s="1" t="s">
        <v>2660</v>
      </c>
      <c r="F12" s="1" t="s">
        <v>12</v>
      </c>
      <c r="G12" s="1" t="s">
        <v>262</v>
      </c>
      <c r="H12" s="1" t="s">
        <v>2661</v>
      </c>
      <c r="I12" s="1" t="s">
        <v>11</v>
      </c>
      <c r="J12" s="1" t="s">
        <v>2662</v>
      </c>
      <c r="K12" s="1" t="s">
        <v>2663</v>
      </c>
      <c r="L12" s="1" t="s">
        <v>2664</v>
      </c>
      <c r="M12" s="1" t="s">
        <v>2665</v>
      </c>
      <c r="N12" s="1" t="s">
        <v>2666</v>
      </c>
      <c r="O12" s="1" t="s">
        <v>19</v>
      </c>
      <c r="P12" s="1">
        <v>2025</v>
      </c>
      <c r="Q12" s="1">
        <v>18</v>
      </c>
      <c r="R12" s="1">
        <v>8</v>
      </c>
      <c r="S12" s="1">
        <v>2057</v>
      </c>
      <c r="T12" s="1">
        <v>2066</v>
      </c>
      <c r="U12" s="1" t="s">
        <v>2667</v>
      </c>
      <c r="V12" s="1" t="str">
        <f>HYPERLINK("http://dx.doi.org/10.1007/s12273-025-1299-6","http://dx.doi.org/10.1007/s12273-025-1299-6")</f>
        <v>http://dx.doi.org/10.1007/s12273-025-1299-6</v>
      </c>
    </row>
    <row r="13" spans="1:22" x14ac:dyDescent="0.4">
      <c r="C13" s="1" t="s">
        <v>2689</v>
      </c>
      <c r="D13" s="1" t="s">
        <v>2690</v>
      </c>
      <c r="E13" s="1" t="s">
        <v>2691</v>
      </c>
      <c r="F13" s="1" t="s">
        <v>12</v>
      </c>
      <c r="G13" s="1" t="s">
        <v>262</v>
      </c>
      <c r="H13" s="1" t="s">
        <v>2692</v>
      </c>
      <c r="I13" s="1" t="s">
        <v>2693</v>
      </c>
      <c r="J13" s="1" t="s">
        <v>2694</v>
      </c>
      <c r="K13" s="1" t="s">
        <v>2695</v>
      </c>
      <c r="L13" s="1" t="s">
        <v>303</v>
      </c>
      <c r="M13" s="1" t="s">
        <v>2696</v>
      </c>
      <c r="N13" s="1" t="s">
        <v>2697</v>
      </c>
      <c r="O13" s="1" t="s">
        <v>22</v>
      </c>
      <c r="P13" s="1">
        <v>2025</v>
      </c>
      <c r="Q13" s="1">
        <v>18</v>
      </c>
      <c r="R13" s="1">
        <v>6</v>
      </c>
      <c r="S13" s="1">
        <v>1543</v>
      </c>
      <c r="T13" s="1">
        <v>1559</v>
      </c>
      <c r="U13" s="1" t="s">
        <v>2698</v>
      </c>
      <c r="V13" s="1" t="str">
        <f>HYPERLINK("http://dx.doi.org/10.1007/s12273-025-1284-0","http://dx.doi.org/10.1007/s12273-025-1284-0")</f>
        <v>http://dx.doi.org/10.1007/s12273-025-1284-0</v>
      </c>
    </row>
    <row r="14" spans="1:22" x14ac:dyDescent="0.4">
      <c r="C14" s="1" t="s">
        <v>2805</v>
      </c>
      <c r="D14" s="1" t="s">
        <v>2806</v>
      </c>
      <c r="E14" s="1" t="s">
        <v>2807</v>
      </c>
      <c r="F14" s="1" t="s">
        <v>12</v>
      </c>
      <c r="G14" s="1" t="s">
        <v>262</v>
      </c>
      <c r="H14" s="1" t="s">
        <v>2808</v>
      </c>
      <c r="I14" s="1" t="s">
        <v>2809</v>
      </c>
      <c r="J14" s="1" t="s">
        <v>2810</v>
      </c>
      <c r="K14" s="1" t="s">
        <v>2811</v>
      </c>
      <c r="L14" s="1" t="s">
        <v>2812</v>
      </c>
      <c r="M14" s="1" t="s">
        <v>2813</v>
      </c>
      <c r="N14" s="1" t="s">
        <v>2814</v>
      </c>
      <c r="O14" s="1" t="s">
        <v>21</v>
      </c>
      <c r="P14" s="1">
        <v>2025</v>
      </c>
      <c r="Q14" s="1">
        <v>18</v>
      </c>
      <c r="R14" s="1">
        <v>5</v>
      </c>
      <c r="S14" s="1">
        <v>1143</v>
      </c>
      <c r="T14" s="1">
        <v>1162</v>
      </c>
      <c r="U14" s="1" t="s">
        <v>2815</v>
      </c>
      <c r="V14" s="1" t="str">
        <f>HYPERLINK("http://dx.doi.org/10.1007/s12273-025-1291-1","http://dx.doi.org/10.1007/s12273-025-1291-1")</f>
        <v>http://dx.doi.org/10.1007/s12273-025-1291-1</v>
      </c>
    </row>
    <row r="15" spans="1:22" x14ac:dyDescent="0.4">
      <c r="C15" s="1" t="s">
        <v>2907</v>
      </c>
      <c r="D15" s="1" t="s">
        <v>2908</v>
      </c>
      <c r="E15" s="1" t="s">
        <v>2909</v>
      </c>
      <c r="F15" s="1" t="s">
        <v>12</v>
      </c>
      <c r="G15" s="1" t="s">
        <v>262</v>
      </c>
      <c r="H15" s="1" t="s">
        <v>2910</v>
      </c>
      <c r="I15" s="1" t="s">
        <v>2911</v>
      </c>
      <c r="J15" s="1" t="s">
        <v>2912</v>
      </c>
      <c r="K15" s="1" t="s">
        <v>2913</v>
      </c>
      <c r="L15" s="1" t="s">
        <v>2914</v>
      </c>
      <c r="M15" s="1" t="s">
        <v>1548</v>
      </c>
      <c r="N15" s="1" t="s">
        <v>1549</v>
      </c>
      <c r="O15" s="1" t="s">
        <v>20</v>
      </c>
      <c r="P15" s="1">
        <v>2025</v>
      </c>
      <c r="Q15" s="1">
        <v>18</v>
      </c>
      <c r="R15" s="1">
        <v>7</v>
      </c>
      <c r="S15" s="1">
        <v>1743</v>
      </c>
      <c r="T15" s="1">
        <v>1760</v>
      </c>
      <c r="U15" s="1" t="s">
        <v>2915</v>
      </c>
      <c r="V15" s="1" t="str">
        <f>HYPERLINK("http://dx.doi.org/10.1007/s12273-025-1285-z","http://dx.doi.org/10.1007/s12273-025-1285-z")</f>
        <v>http://dx.doi.org/10.1007/s12273-025-1285-z</v>
      </c>
    </row>
    <row r="16" spans="1:22" x14ac:dyDescent="0.4">
      <c r="C16" s="1" t="s">
        <v>2987</v>
      </c>
      <c r="D16" s="1" t="s">
        <v>2988</v>
      </c>
      <c r="E16" s="1" t="s">
        <v>2989</v>
      </c>
      <c r="F16" s="1" t="s">
        <v>12</v>
      </c>
      <c r="G16" s="1" t="s">
        <v>262</v>
      </c>
      <c r="H16" s="1" t="s">
        <v>2990</v>
      </c>
      <c r="I16" s="1" t="s">
        <v>2991</v>
      </c>
      <c r="J16" s="1" t="s">
        <v>2992</v>
      </c>
      <c r="K16" s="1" t="s">
        <v>2993</v>
      </c>
      <c r="L16" s="1" t="s">
        <v>2994</v>
      </c>
      <c r="M16" s="1" t="s">
        <v>986</v>
      </c>
      <c r="N16" s="1" t="s">
        <v>987</v>
      </c>
      <c r="O16" s="1" t="s">
        <v>22</v>
      </c>
      <c r="P16" s="1">
        <v>2025</v>
      </c>
      <c r="Q16" s="1">
        <v>18</v>
      </c>
      <c r="R16" s="1">
        <v>6</v>
      </c>
      <c r="S16" s="1">
        <v>1453</v>
      </c>
      <c r="T16" s="1">
        <v>1466</v>
      </c>
      <c r="U16" s="1" t="s">
        <v>2995</v>
      </c>
      <c r="V16" s="1" t="str">
        <f>HYPERLINK("http://dx.doi.org/10.1007/s12273-025-1276-0","http://dx.doi.org/10.1007/s12273-025-1276-0")</f>
        <v>http://dx.doi.org/10.1007/s12273-025-1276-0</v>
      </c>
    </row>
    <row r="17" spans="1:22" x14ac:dyDescent="0.4">
      <c r="C17" s="1" t="s">
        <v>3145</v>
      </c>
      <c r="D17" s="1" t="s">
        <v>3146</v>
      </c>
      <c r="E17" s="1" t="s">
        <v>3147</v>
      </c>
      <c r="F17" s="1" t="s">
        <v>12</v>
      </c>
      <c r="G17" s="1" t="s">
        <v>262</v>
      </c>
      <c r="H17" s="1" t="s">
        <v>3148</v>
      </c>
      <c r="I17" s="1" t="s">
        <v>3149</v>
      </c>
      <c r="J17" s="1" t="s">
        <v>3150</v>
      </c>
      <c r="K17" s="1" t="s">
        <v>3151</v>
      </c>
      <c r="L17" s="1" t="s">
        <v>3152</v>
      </c>
      <c r="M17" s="1" t="s">
        <v>3153</v>
      </c>
      <c r="N17" s="1" t="s">
        <v>267</v>
      </c>
      <c r="O17" s="1" t="s">
        <v>23</v>
      </c>
      <c r="P17" s="1">
        <v>2025</v>
      </c>
      <c r="Q17" s="1">
        <v>18</v>
      </c>
      <c r="R17" s="1">
        <v>4</v>
      </c>
      <c r="S17" s="1">
        <v>937</v>
      </c>
      <c r="T17" s="1">
        <v>955</v>
      </c>
      <c r="U17" s="1" t="s">
        <v>3154</v>
      </c>
      <c r="V17" s="1" t="str">
        <f>HYPERLINK("http://dx.doi.org/10.1007/s12273-025-1244-8","http://dx.doi.org/10.1007/s12273-025-1244-8")</f>
        <v>http://dx.doi.org/10.1007/s12273-025-1244-8</v>
      </c>
    </row>
    <row r="18" spans="1:22" ht="13.7" x14ac:dyDescent="0.4">
      <c r="A18" s="2"/>
      <c r="B18" s="2"/>
      <c r="C18" s="1" t="s">
        <v>3208</v>
      </c>
      <c r="D18" s="1" t="s">
        <v>3209</v>
      </c>
      <c r="E18" s="1" t="s">
        <v>3210</v>
      </c>
      <c r="F18" s="1" t="s">
        <v>12</v>
      </c>
      <c r="G18" s="1" t="s">
        <v>262</v>
      </c>
      <c r="H18" s="1" t="s">
        <v>3211</v>
      </c>
      <c r="I18" s="1" t="s">
        <v>3212</v>
      </c>
      <c r="J18" s="1" t="s">
        <v>3213</v>
      </c>
      <c r="K18" s="1" t="s">
        <v>3214</v>
      </c>
      <c r="L18" s="1" t="s">
        <v>3215</v>
      </c>
      <c r="M18" s="1" t="s">
        <v>3216</v>
      </c>
      <c r="N18" s="1" t="s">
        <v>3217</v>
      </c>
      <c r="O18" s="1" t="s">
        <v>23</v>
      </c>
      <c r="P18" s="1">
        <v>2025</v>
      </c>
      <c r="Q18" s="1">
        <v>18</v>
      </c>
      <c r="R18" s="1">
        <v>4</v>
      </c>
      <c r="S18" s="1">
        <v>847</v>
      </c>
      <c r="T18" s="1">
        <v>862</v>
      </c>
      <c r="U18" s="1" t="s">
        <v>3218</v>
      </c>
      <c r="V18" s="1" t="str">
        <f>HYPERLINK("http://dx.doi.org/10.1007/s12273-025-1245-7","http://dx.doi.org/10.1007/s12273-025-1245-7")</f>
        <v>http://dx.doi.org/10.1007/s12273-025-1245-7</v>
      </c>
    </row>
    <row r="19" spans="1:22" x14ac:dyDescent="0.4">
      <c r="C19" s="1" t="s">
        <v>3437</v>
      </c>
      <c r="D19" s="1" t="s">
        <v>3438</v>
      </c>
      <c r="E19" s="1" t="s">
        <v>3439</v>
      </c>
      <c r="F19" s="1" t="s">
        <v>12</v>
      </c>
      <c r="G19" s="1" t="s">
        <v>262</v>
      </c>
      <c r="H19" s="1" t="s">
        <v>3440</v>
      </c>
      <c r="I19" s="1" t="s">
        <v>3441</v>
      </c>
      <c r="J19" s="1" t="s">
        <v>3442</v>
      </c>
      <c r="K19" s="1" t="s">
        <v>3443</v>
      </c>
      <c r="L19" s="1" t="s">
        <v>3444</v>
      </c>
      <c r="M19" s="1" t="s">
        <v>3445</v>
      </c>
      <c r="N19" s="1" t="s">
        <v>274</v>
      </c>
      <c r="O19" s="1" t="s">
        <v>24</v>
      </c>
      <c r="P19" s="1">
        <v>2025</v>
      </c>
      <c r="Q19" s="1">
        <v>18</v>
      </c>
      <c r="R19" s="1">
        <v>1</v>
      </c>
      <c r="S19" s="1">
        <v>19</v>
      </c>
      <c r="T19" s="1">
        <v>32</v>
      </c>
      <c r="U19" s="1" t="s">
        <v>3446</v>
      </c>
      <c r="V19" s="1" t="str">
        <f>HYPERLINK("http://dx.doi.org/10.1007/s12273-024-1204-8","http://dx.doi.org/10.1007/s12273-024-1204-8")</f>
        <v>http://dx.doi.org/10.1007/s12273-024-1204-8</v>
      </c>
    </row>
    <row r="20" spans="1:22" x14ac:dyDescent="0.4">
      <c r="C20" s="1" t="s">
        <v>1564</v>
      </c>
      <c r="D20" s="1" t="s">
        <v>1565</v>
      </c>
      <c r="E20" s="1" t="s">
        <v>1566</v>
      </c>
      <c r="F20" s="1" t="s">
        <v>12</v>
      </c>
      <c r="G20" s="1" t="s">
        <v>262</v>
      </c>
      <c r="H20" s="1" t="s">
        <v>1567</v>
      </c>
      <c r="I20" s="1" t="s">
        <v>1568</v>
      </c>
      <c r="J20" s="1" t="s">
        <v>1569</v>
      </c>
      <c r="K20" s="1" t="s">
        <v>1570</v>
      </c>
      <c r="L20" s="1" t="s">
        <v>1571</v>
      </c>
      <c r="M20" s="1" t="s">
        <v>1572</v>
      </c>
      <c r="N20" s="1" t="s">
        <v>1573</v>
      </c>
      <c r="O20" s="1" t="s">
        <v>24</v>
      </c>
      <c r="P20" s="1">
        <v>2025</v>
      </c>
      <c r="Q20" s="1">
        <v>18</v>
      </c>
      <c r="R20" s="1">
        <v>1</v>
      </c>
      <c r="S20" s="1">
        <v>87</v>
      </c>
      <c r="T20" s="1">
        <v>98</v>
      </c>
      <c r="U20" s="1" t="s">
        <v>1574</v>
      </c>
      <c r="V20" s="1" t="str">
        <f>HYPERLINK("http://dx.doi.org/10.1007/s12273-024-1188-4","http://dx.doi.org/10.1007/s12273-024-1188-4")</f>
        <v>http://dx.doi.org/10.1007/s12273-024-1188-4</v>
      </c>
    </row>
    <row r="21" spans="1:22" ht="13.7" x14ac:dyDescent="0.4">
      <c r="A21" s="2"/>
      <c r="B21" s="2"/>
      <c r="C21" s="1" t="s">
        <v>3559</v>
      </c>
      <c r="D21" s="1" t="s">
        <v>3560</v>
      </c>
      <c r="E21" s="1" t="s">
        <v>3561</v>
      </c>
      <c r="F21" s="1" t="s">
        <v>12</v>
      </c>
      <c r="G21" s="1" t="s">
        <v>273</v>
      </c>
      <c r="H21" s="1" t="s">
        <v>3562</v>
      </c>
      <c r="I21" s="1" t="s">
        <v>3563</v>
      </c>
      <c r="J21" s="1" t="s">
        <v>3564</v>
      </c>
      <c r="K21" s="1" t="s">
        <v>3565</v>
      </c>
      <c r="L21" s="1" t="s">
        <v>3566</v>
      </c>
      <c r="M21" s="1" t="s">
        <v>3567</v>
      </c>
      <c r="N21" s="1" t="s">
        <v>357</v>
      </c>
      <c r="O21" s="1" t="s">
        <v>23</v>
      </c>
      <c r="P21" s="1">
        <v>2025</v>
      </c>
      <c r="Q21" s="1">
        <v>18</v>
      </c>
      <c r="R21" s="1">
        <v>4</v>
      </c>
      <c r="S21" s="1">
        <v>721</v>
      </c>
      <c r="T21" s="1">
        <v>746</v>
      </c>
      <c r="U21" s="1" t="s">
        <v>3568</v>
      </c>
      <c r="V21" s="1" t="str">
        <f>HYPERLINK("http://dx.doi.org/10.1007/s12273-025-1230-1","http://dx.doi.org/10.1007/s12273-025-1230-1")</f>
        <v>http://dx.doi.org/10.1007/s12273-025-1230-1</v>
      </c>
    </row>
    <row r="23" spans="1:22" x14ac:dyDescent="0.4">
      <c r="A23" s="10" t="s">
        <v>69</v>
      </c>
      <c r="B23" s="10" t="s">
        <v>70</v>
      </c>
      <c r="E23" s="10"/>
      <c r="F23" s="10"/>
    </row>
    <row r="24" spans="1:22" ht="13.7" x14ac:dyDescent="0.5">
      <c r="A24" s="4"/>
      <c r="B24" s="4"/>
      <c r="C24" s="1" t="s">
        <v>397</v>
      </c>
      <c r="D24" s="1" t="s">
        <v>398</v>
      </c>
      <c r="E24" s="1" t="s">
        <v>399</v>
      </c>
      <c r="F24" s="1" t="s">
        <v>12</v>
      </c>
      <c r="G24" s="1" t="s">
        <v>262</v>
      </c>
      <c r="H24" s="1" t="s">
        <v>400</v>
      </c>
      <c r="I24" s="1" t="s">
        <v>401</v>
      </c>
      <c r="J24" s="1" t="s">
        <v>402</v>
      </c>
      <c r="K24" s="1" t="s">
        <v>403</v>
      </c>
      <c r="L24" s="1" t="s">
        <v>404</v>
      </c>
      <c r="M24" s="1" t="s">
        <v>405</v>
      </c>
      <c r="N24" s="1" t="s">
        <v>406</v>
      </c>
      <c r="O24" s="1" t="s">
        <v>23</v>
      </c>
      <c r="P24" s="1">
        <v>2024</v>
      </c>
      <c r="Q24" s="1">
        <v>17</v>
      </c>
      <c r="R24" s="1">
        <v>4</v>
      </c>
      <c r="S24" s="1">
        <v>575</v>
      </c>
      <c r="T24" s="1">
        <v>589</v>
      </c>
      <c r="U24" s="1" t="s">
        <v>407</v>
      </c>
      <c r="V24" s="1" t="str">
        <f>HYPERLINK("http://dx.doi.org/10.1007/s12273-023-1092-3","http://dx.doi.org/10.1007/s12273-023-1092-3")</f>
        <v>http://dx.doi.org/10.1007/s12273-023-1092-3</v>
      </c>
    </row>
    <row r="25" spans="1:22" ht="13.7" x14ac:dyDescent="0.5">
      <c r="A25" s="4"/>
      <c r="B25" s="4"/>
      <c r="C25" s="1" t="s">
        <v>771</v>
      </c>
      <c r="D25" s="1" t="s">
        <v>772</v>
      </c>
      <c r="E25" s="1" t="s">
        <v>773</v>
      </c>
      <c r="F25" s="1" t="s">
        <v>12</v>
      </c>
      <c r="G25" s="1" t="s">
        <v>262</v>
      </c>
      <c r="H25" s="1" t="s">
        <v>774</v>
      </c>
      <c r="I25" s="1" t="s">
        <v>775</v>
      </c>
      <c r="J25" s="1" t="s">
        <v>776</v>
      </c>
      <c r="K25" s="1" t="s">
        <v>777</v>
      </c>
      <c r="L25" s="1" t="s">
        <v>778</v>
      </c>
      <c r="M25" s="1" t="s">
        <v>779</v>
      </c>
      <c r="N25" s="1" t="s">
        <v>780</v>
      </c>
      <c r="O25" s="1" t="s">
        <v>20</v>
      </c>
      <c r="P25" s="1">
        <v>2024</v>
      </c>
      <c r="Q25" s="1">
        <v>17</v>
      </c>
      <c r="R25" s="1">
        <v>7</v>
      </c>
      <c r="S25" s="1">
        <v>1183</v>
      </c>
      <c r="T25" s="1">
        <v>1200</v>
      </c>
      <c r="U25" s="1" t="s">
        <v>781</v>
      </c>
      <c r="V25" s="1" t="str">
        <f>HYPERLINK("http://dx.doi.org/10.1007/s12273-024-1134-5","http://dx.doi.org/10.1007/s12273-024-1134-5")</f>
        <v>http://dx.doi.org/10.1007/s12273-024-1134-5</v>
      </c>
    </row>
    <row r="26" spans="1:22" x14ac:dyDescent="0.4">
      <c r="A26" s="10"/>
      <c r="B26" s="10"/>
      <c r="C26" s="1" t="s">
        <v>1123</v>
      </c>
      <c r="D26" s="1" t="s">
        <v>1124</v>
      </c>
      <c r="E26" s="1" t="s">
        <v>1125</v>
      </c>
      <c r="F26" s="1" t="s">
        <v>12</v>
      </c>
      <c r="G26" s="1" t="s">
        <v>1080</v>
      </c>
      <c r="H26" s="1" t="s">
        <v>1126</v>
      </c>
      <c r="I26" s="1" t="s">
        <v>1127</v>
      </c>
      <c r="J26" s="1" t="s">
        <v>1128</v>
      </c>
      <c r="K26" s="1" t="s">
        <v>1129</v>
      </c>
      <c r="L26" s="1" t="s">
        <v>1130</v>
      </c>
      <c r="M26" s="1" t="s">
        <v>1131</v>
      </c>
      <c r="N26" s="1" t="s">
        <v>1132</v>
      </c>
      <c r="O26" s="1" t="s">
        <v>15</v>
      </c>
      <c r="P26" s="1">
        <v>2024</v>
      </c>
      <c r="Q26" s="1">
        <v>17</v>
      </c>
      <c r="R26" s="1">
        <v>10</v>
      </c>
      <c r="S26" s="1">
        <v>1731</v>
      </c>
      <c r="T26" s="1">
        <v>1748</v>
      </c>
      <c r="U26" s="1" t="s">
        <v>3587</v>
      </c>
      <c r="V26" s="1" t="str">
        <f>HYPERLINK("http://dx.doi.org/10.1007/s12273-024-1144-3","http://dx.doi.org/10.1007/s12273-024-1144-3")</f>
        <v>http://dx.doi.org/10.1007/s12273-024-1144-3</v>
      </c>
    </row>
    <row r="27" spans="1:22" x14ac:dyDescent="0.4">
      <c r="C27" s="1" t="s">
        <v>1448</v>
      </c>
      <c r="D27" s="1" t="s">
        <v>1449</v>
      </c>
      <c r="E27" s="1" t="s">
        <v>1450</v>
      </c>
      <c r="F27" s="1" t="s">
        <v>12</v>
      </c>
      <c r="G27" s="1" t="s">
        <v>262</v>
      </c>
      <c r="H27" s="1" t="s">
        <v>1451</v>
      </c>
      <c r="I27" s="1" t="s">
        <v>1452</v>
      </c>
      <c r="J27" s="1" t="s">
        <v>1453</v>
      </c>
      <c r="K27" s="1" t="s">
        <v>1454</v>
      </c>
      <c r="L27" s="1" t="s">
        <v>1455</v>
      </c>
      <c r="M27" s="1" t="s">
        <v>1456</v>
      </c>
      <c r="N27" s="1" t="s">
        <v>271</v>
      </c>
      <c r="O27" s="1" t="s">
        <v>27</v>
      </c>
      <c r="P27" s="1">
        <v>2024</v>
      </c>
      <c r="Q27" s="1">
        <v>17</v>
      </c>
      <c r="R27" s="1">
        <v>12</v>
      </c>
      <c r="S27" s="1">
        <v>2263</v>
      </c>
      <c r="T27" s="1">
        <v>2280</v>
      </c>
      <c r="U27" s="1" t="s">
        <v>1457</v>
      </c>
      <c r="V27" s="1" t="str">
        <f>HYPERLINK("http://dx.doi.org/10.1007/s12273-024-1187-5","http://dx.doi.org/10.1007/s12273-024-1187-5")</f>
        <v>http://dx.doi.org/10.1007/s12273-024-1187-5</v>
      </c>
    </row>
    <row r="28" spans="1:22" x14ac:dyDescent="0.4">
      <c r="C28" s="1" t="s">
        <v>1724</v>
      </c>
      <c r="D28" s="1" t="s">
        <v>1725</v>
      </c>
      <c r="E28" s="1" t="s">
        <v>1726</v>
      </c>
      <c r="F28" s="1" t="s">
        <v>12</v>
      </c>
      <c r="G28" s="1" t="s">
        <v>1080</v>
      </c>
      <c r="H28" s="1" t="s">
        <v>1727</v>
      </c>
      <c r="I28" s="1" t="s">
        <v>1728</v>
      </c>
      <c r="J28" s="1" t="s">
        <v>1729</v>
      </c>
      <c r="K28" s="1" t="s">
        <v>1730</v>
      </c>
      <c r="L28" s="1" t="s">
        <v>1731</v>
      </c>
      <c r="M28" s="1" t="s">
        <v>1732</v>
      </c>
      <c r="N28" s="1" t="s">
        <v>852</v>
      </c>
      <c r="O28" s="1" t="s">
        <v>1733</v>
      </c>
      <c r="P28" s="1">
        <v>2025</v>
      </c>
      <c r="Q28" s="1">
        <v>18</v>
      </c>
      <c r="R28" s="1">
        <v>3</v>
      </c>
      <c r="S28" s="1">
        <v>473</v>
      </c>
      <c r="T28" s="1">
        <v>497</v>
      </c>
      <c r="U28" s="1" t="s">
        <v>1734</v>
      </c>
      <c r="V28" s="1" t="str">
        <f>HYPERLINK("http://dx.doi.org/10.1007/s12273-024-1196-4","http://dx.doi.org/10.1007/s12273-024-1196-4")</f>
        <v>http://dx.doi.org/10.1007/s12273-024-1196-4</v>
      </c>
    </row>
    <row r="29" spans="1:22" x14ac:dyDescent="0.4">
      <c r="A29" s="10" t="s">
        <v>71</v>
      </c>
      <c r="B29" s="10" t="s">
        <v>72</v>
      </c>
      <c r="E29" s="10"/>
      <c r="F29" s="10"/>
    </row>
    <row r="30" spans="1:22" x14ac:dyDescent="0.4">
      <c r="C30" s="1" t="s">
        <v>2133</v>
      </c>
      <c r="D30" s="1" t="s">
        <v>2134</v>
      </c>
      <c r="E30" s="1" t="s">
        <v>2135</v>
      </c>
      <c r="F30" s="1" t="s">
        <v>12</v>
      </c>
      <c r="G30" s="1" t="s">
        <v>262</v>
      </c>
      <c r="H30" s="1" t="s">
        <v>2136</v>
      </c>
      <c r="I30" s="1" t="s">
        <v>2137</v>
      </c>
      <c r="J30" s="1" t="s">
        <v>2138</v>
      </c>
      <c r="K30" s="1" t="s">
        <v>2139</v>
      </c>
      <c r="L30" s="1" t="s">
        <v>2140</v>
      </c>
      <c r="M30" s="1" t="s">
        <v>2141</v>
      </c>
      <c r="N30" s="1" t="s">
        <v>2142</v>
      </c>
      <c r="O30" s="1" t="s">
        <v>15</v>
      </c>
      <c r="P30" s="1">
        <v>2025</v>
      </c>
      <c r="Q30" s="1">
        <v>18</v>
      </c>
      <c r="R30" s="1">
        <v>10</v>
      </c>
      <c r="S30" s="1">
        <v>2625</v>
      </c>
      <c r="T30" s="1">
        <v>2641</v>
      </c>
      <c r="U30" s="1" t="s">
        <v>2143</v>
      </c>
      <c r="V30" s="1" t="str">
        <f>HYPERLINK("http://dx.doi.org/10.1007/s12273-025-1325-8","http://dx.doi.org/10.1007/s12273-025-1325-8")</f>
        <v>http://dx.doi.org/10.1007/s12273-025-1325-8</v>
      </c>
    </row>
    <row r="31" spans="1:22" x14ac:dyDescent="0.4">
      <c r="C31" s="1" t="s">
        <v>322</v>
      </c>
      <c r="D31" s="1" t="s">
        <v>323</v>
      </c>
      <c r="E31" s="1" t="s">
        <v>324</v>
      </c>
      <c r="F31" s="1" t="s">
        <v>12</v>
      </c>
      <c r="G31" s="1" t="s">
        <v>262</v>
      </c>
      <c r="H31" s="1" t="s">
        <v>325</v>
      </c>
      <c r="I31" s="1" t="s">
        <v>326</v>
      </c>
      <c r="J31" s="1" t="s">
        <v>327</v>
      </c>
      <c r="K31" s="1" t="s">
        <v>328</v>
      </c>
      <c r="L31" s="1" t="s">
        <v>329</v>
      </c>
      <c r="M31" s="1" t="s">
        <v>330</v>
      </c>
      <c r="N31" s="1" t="s">
        <v>331</v>
      </c>
      <c r="O31" s="1" t="s">
        <v>25</v>
      </c>
      <c r="P31" s="1">
        <v>2024</v>
      </c>
      <c r="Q31" s="1">
        <v>17</v>
      </c>
      <c r="R31" s="1">
        <v>3</v>
      </c>
      <c r="S31" s="1">
        <v>355</v>
      </c>
      <c r="T31" s="1">
        <v>370</v>
      </c>
      <c r="U31" s="1" t="s">
        <v>332</v>
      </c>
      <c r="V31" s="1" t="str">
        <f>HYPERLINK("http://dx.doi.org/10.1007/s12273-023-1097-y","http://dx.doi.org/10.1007/s12273-023-1097-y")</f>
        <v>http://dx.doi.org/10.1007/s12273-023-1097-y</v>
      </c>
    </row>
    <row r="32" spans="1:22" x14ac:dyDescent="0.4">
      <c r="C32" s="1" t="s">
        <v>682</v>
      </c>
      <c r="D32" s="1" t="s">
        <v>683</v>
      </c>
      <c r="E32" s="1" t="s">
        <v>684</v>
      </c>
      <c r="F32" s="1" t="s">
        <v>12</v>
      </c>
      <c r="G32" s="1" t="s">
        <v>262</v>
      </c>
      <c r="H32" s="1" t="s">
        <v>685</v>
      </c>
      <c r="I32" s="1" t="s">
        <v>686</v>
      </c>
      <c r="J32" s="1" t="s">
        <v>687</v>
      </c>
      <c r="K32" s="1" t="s">
        <v>688</v>
      </c>
      <c r="L32" s="1" t="s">
        <v>284</v>
      </c>
      <c r="M32" s="1" t="s">
        <v>689</v>
      </c>
      <c r="N32" s="1" t="s">
        <v>690</v>
      </c>
      <c r="O32" s="1" t="s">
        <v>22</v>
      </c>
      <c r="P32" s="1">
        <v>2024</v>
      </c>
      <c r="Q32" s="1">
        <v>17</v>
      </c>
      <c r="R32" s="1">
        <v>6</v>
      </c>
      <c r="S32" s="1">
        <v>1023</v>
      </c>
      <c r="T32" s="1">
        <v>1036</v>
      </c>
      <c r="U32" s="1" t="s">
        <v>691</v>
      </c>
      <c r="V32" s="1" t="str">
        <f>HYPERLINK("http://dx.doi.org/10.1007/s12273-024-1132-7","http://dx.doi.org/10.1007/s12273-024-1132-7")</f>
        <v>http://dx.doi.org/10.1007/s12273-024-1132-7</v>
      </c>
    </row>
    <row r="33" spans="1:22" x14ac:dyDescent="0.4">
      <c r="C33" s="1" t="s">
        <v>1820</v>
      </c>
      <c r="D33" s="1" t="s">
        <v>1821</v>
      </c>
      <c r="E33" s="1" t="s">
        <v>1822</v>
      </c>
      <c r="F33" s="1" t="s">
        <v>12</v>
      </c>
      <c r="G33" s="1" t="s">
        <v>262</v>
      </c>
      <c r="H33" s="1" t="s">
        <v>1823</v>
      </c>
      <c r="I33" s="1" t="s">
        <v>1824</v>
      </c>
      <c r="J33" s="1" t="s">
        <v>1825</v>
      </c>
      <c r="K33" s="1" t="s">
        <v>1826</v>
      </c>
      <c r="L33" s="1" t="s">
        <v>1827</v>
      </c>
      <c r="M33" s="1" t="s">
        <v>1828</v>
      </c>
      <c r="N33" s="1" t="s">
        <v>1829</v>
      </c>
      <c r="O33" s="1" t="s">
        <v>27</v>
      </c>
      <c r="P33" s="1">
        <v>2025</v>
      </c>
      <c r="Q33" s="1">
        <v>18</v>
      </c>
      <c r="R33" s="1">
        <v>12</v>
      </c>
      <c r="S33" s="1">
        <v>3393</v>
      </c>
      <c r="T33" s="1">
        <v>3410</v>
      </c>
      <c r="U33" s="1" t="s">
        <v>1830</v>
      </c>
      <c r="V33" s="1" t="str">
        <f>HYPERLINK("http://dx.doi.org/10.1007/s12273-025-1360-5","http://dx.doi.org/10.1007/s12273-025-1360-5")</f>
        <v>http://dx.doi.org/10.1007/s12273-025-1360-5</v>
      </c>
    </row>
    <row r="34" spans="1:22" x14ac:dyDescent="0.4">
      <c r="C34" s="1" t="s">
        <v>1880</v>
      </c>
      <c r="D34" s="1" t="s">
        <v>1881</v>
      </c>
      <c r="E34" s="1" t="s">
        <v>1882</v>
      </c>
      <c r="F34" s="1" t="s">
        <v>12</v>
      </c>
      <c r="G34" s="1" t="s">
        <v>262</v>
      </c>
      <c r="H34" s="1" t="s">
        <v>1883</v>
      </c>
      <c r="I34" s="1" t="s">
        <v>1884</v>
      </c>
      <c r="J34" s="1" t="s">
        <v>1885</v>
      </c>
      <c r="K34" s="1" t="s">
        <v>1886</v>
      </c>
      <c r="L34" s="1" t="s">
        <v>1887</v>
      </c>
      <c r="M34" s="1" t="s">
        <v>1888</v>
      </c>
      <c r="N34" s="1" t="s">
        <v>1889</v>
      </c>
      <c r="O34" s="1" t="s">
        <v>27</v>
      </c>
      <c r="P34" s="1">
        <v>2025</v>
      </c>
      <c r="Q34" s="1">
        <v>18</v>
      </c>
      <c r="R34" s="1">
        <v>12</v>
      </c>
      <c r="S34" s="1">
        <v>3247</v>
      </c>
      <c r="T34" s="1">
        <v>3260</v>
      </c>
      <c r="U34" s="1" t="s">
        <v>1890</v>
      </c>
      <c r="V34" s="1" t="str">
        <f>HYPERLINK("http://dx.doi.org/10.1007/s12273-025-1378-8","http://dx.doi.org/10.1007/s12273-025-1378-8")</f>
        <v>http://dx.doi.org/10.1007/s12273-025-1378-8</v>
      </c>
    </row>
    <row r="35" spans="1:22" x14ac:dyDescent="0.4">
      <c r="C35" s="1" t="s">
        <v>1157</v>
      </c>
      <c r="D35" s="1" t="s">
        <v>1158</v>
      </c>
      <c r="E35" s="1" t="s">
        <v>1159</v>
      </c>
      <c r="F35" s="1" t="s">
        <v>12</v>
      </c>
      <c r="G35" s="1" t="s">
        <v>1080</v>
      </c>
      <c r="H35" s="1" t="s">
        <v>1160</v>
      </c>
      <c r="I35" s="1" t="s">
        <v>1161</v>
      </c>
      <c r="J35" s="1" t="s">
        <v>1162</v>
      </c>
      <c r="K35" s="1" t="s">
        <v>1163</v>
      </c>
      <c r="L35" s="1" t="s">
        <v>1164</v>
      </c>
      <c r="M35" s="1" t="s">
        <v>1165</v>
      </c>
      <c r="N35" s="1" t="s">
        <v>1166</v>
      </c>
      <c r="O35" s="1" t="s">
        <v>15</v>
      </c>
      <c r="P35" s="1">
        <v>2024</v>
      </c>
      <c r="Q35" s="1">
        <v>17</v>
      </c>
      <c r="R35" s="1">
        <v>10</v>
      </c>
      <c r="S35" s="1">
        <v>1789</v>
      </c>
      <c r="T35" s="1">
        <v>1803</v>
      </c>
      <c r="U35" s="1" t="s">
        <v>1167</v>
      </c>
      <c r="V35" s="1" t="str">
        <f>HYPERLINK("http://dx.doi.org/10.1007/s12273-024-1159-9","http://dx.doi.org/10.1007/s12273-024-1159-9")</f>
        <v>http://dx.doi.org/10.1007/s12273-024-1159-9</v>
      </c>
    </row>
    <row r="36" spans="1:22" x14ac:dyDescent="0.4">
      <c r="C36" s="1" t="s">
        <v>1951</v>
      </c>
      <c r="D36" s="1" t="s">
        <v>1952</v>
      </c>
      <c r="E36" s="1" t="s">
        <v>1953</v>
      </c>
      <c r="F36" s="1" t="s">
        <v>12</v>
      </c>
      <c r="G36" s="1" t="s">
        <v>262</v>
      </c>
      <c r="H36" s="1" t="s">
        <v>1954</v>
      </c>
      <c r="I36" s="1" t="s">
        <v>1955</v>
      </c>
      <c r="J36" s="1" t="s">
        <v>1956</v>
      </c>
      <c r="K36" s="1" t="s">
        <v>1957</v>
      </c>
      <c r="L36" s="1" t="s">
        <v>1958</v>
      </c>
      <c r="M36" s="1" t="s">
        <v>1959</v>
      </c>
      <c r="N36" s="1" t="s">
        <v>1960</v>
      </c>
      <c r="O36" s="1" t="s">
        <v>27</v>
      </c>
      <c r="P36" s="1">
        <v>2025</v>
      </c>
      <c r="Q36" s="1">
        <v>18</v>
      </c>
      <c r="R36" s="1">
        <v>12</v>
      </c>
      <c r="S36" s="1">
        <v>3261</v>
      </c>
      <c r="T36" s="1">
        <v>3274</v>
      </c>
      <c r="U36" s="1" t="s">
        <v>1961</v>
      </c>
      <c r="V36" s="1" t="str">
        <f>HYPERLINK("http://dx.doi.org/10.1007/s12273-025-1381-0","http://dx.doi.org/10.1007/s12273-025-1381-0")</f>
        <v>http://dx.doi.org/10.1007/s12273-025-1381-0</v>
      </c>
    </row>
    <row r="37" spans="1:22" x14ac:dyDescent="0.4">
      <c r="C37" s="1" t="s">
        <v>2157</v>
      </c>
      <c r="D37" s="1" t="s">
        <v>2158</v>
      </c>
      <c r="E37" s="1" t="s">
        <v>2159</v>
      </c>
      <c r="F37" s="1" t="s">
        <v>12</v>
      </c>
      <c r="G37" s="1" t="s">
        <v>262</v>
      </c>
      <c r="H37" s="1" t="s">
        <v>2160</v>
      </c>
      <c r="I37" s="1" t="s">
        <v>2161</v>
      </c>
      <c r="J37" s="1" t="s">
        <v>2162</v>
      </c>
      <c r="K37" s="1" t="s">
        <v>2163</v>
      </c>
      <c r="L37" s="1" t="s">
        <v>2164</v>
      </c>
      <c r="M37" s="1" t="s">
        <v>2165</v>
      </c>
      <c r="N37" s="1" t="s">
        <v>2166</v>
      </c>
      <c r="O37" s="1" t="s">
        <v>16</v>
      </c>
      <c r="P37" s="1">
        <v>2025</v>
      </c>
      <c r="Q37" s="1">
        <v>18</v>
      </c>
      <c r="R37" s="1">
        <v>9</v>
      </c>
      <c r="S37" s="1">
        <v>2515</v>
      </c>
      <c r="T37" s="1">
        <v>2530</v>
      </c>
      <c r="U37" s="1" t="s">
        <v>2167</v>
      </c>
      <c r="V37" s="1" t="str">
        <f>HYPERLINK("http://dx.doi.org/10.1007/s12273-025-1349-0","http://dx.doi.org/10.1007/s12273-025-1349-0")</f>
        <v>http://dx.doi.org/10.1007/s12273-025-1349-0</v>
      </c>
    </row>
    <row r="38" spans="1:22" x14ac:dyDescent="0.4">
      <c r="C38" s="1" t="s">
        <v>2745</v>
      </c>
      <c r="D38" s="1" t="s">
        <v>2746</v>
      </c>
      <c r="E38" s="1" t="s">
        <v>2747</v>
      </c>
      <c r="F38" s="1" t="s">
        <v>12</v>
      </c>
      <c r="G38" s="1" t="s">
        <v>262</v>
      </c>
      <c r="H38" s="1" t="s">
        <v>2748</v>
      </c>
      <c r="I38" s="1" t="s">
        <v>2749</v>
      </c>
      <c r="J38" s="1" t="s">
        <v>2750</v>
      </c>
      <c r="K38" s="1" t="s">
        <v>2751</v>
      </c>
      <c r="L38" s="1" t="s">
        <v>2752</v>
      </c>
      <c r="M38" s="1" t="s">
        <v>2753</v>
      </c>
      <c r="N38" s="1" t="s">
        <v>2754</v>
      </c>
      <c r="O38" s="1" t="s">
        <v>20</v>
      </c>
      <c r="P38" s="1">
        <v>2025</v>
      </c>
      <c r="Q38" s="1">
        <v>18</v>
      </c>
      <c r="R38" s="1">
        <v>7</v>
      </c>
      <c r="S38" s="1">
        <v>1761</v>
      </c>
      <c r="T38" s="1">
        <v>1783</v>
      </c>
      <c r="U38" s="1" t="s">
        <v>2755</v>
      </c>
      <c r="V38" s="1" t="str">
        <f>HYPERLINK("http://dx.doi.org/10.1007/s12273-025-1294-y","http://dx.doi.org/10.1007/s12273-025-1294-y")</f>
        <v>http://dx.doi.org/10.1007/s12273-025-1294-y</v>
      </c>
    </row>
    <row r="39" spans="1:22" x14ac:dyDescent="0.4">
      <c r="C39" s="1" t="s">
        <v>2828</v>
      </c>
      <c r="D39" s="1" t="s">
        <v>2829</v>
      </c>
      <c r="E39" s="1" t="s">
        <v>2830</v>
      </c>
      <c r="F39" s="1" t="s">
        <v>12</v>
      </c>
      <c r="G39" s="1" t="s">
        <v>262</v>
      </c>
      <c r="H39" s="1" t="s">
        <v>2831</v>
      </c>
      <c r="I39" s="1" t="s">
        <v>2832</v>
      </c>
      <c r="J39" s="1" t="s">
        <v>2833</v>
      </c>
      <c r="K39" s="1" t="s">
        <v>2834</v>
      </c>
      <c r="L39" s="1" t="s">
        <v>2835</v>
      </c>
      <c r="M39" s="1" t="s">
        <v>2836</v>
      </c>
      <c r="N39" s="1" t="s">
        <v>2837</v>
      </c>
      <c r="O39" s="1" t="s">
        <v>22</v>
      </c>
      <c r="P39" s="1">
        <v>2025</v>
      </c>
      <c r="Q39" s="1">
        <v>18</v>
      </c>
      <c r="R39" s="1">
        <v>6</v>
      </c>
      <c r="S39" s="1">
        <v>1467</v>
      </c>
      <c r="T39" s="1">
        <v>1482</v>
      </c>
      <c r="U39" s="1" t="s">
        <v>2838</v>
      </c>
      <c r="V39" s="1" t="str">
        <f>HYPERLINK("http://dx.doi.org/10.1007/s12273-025-1292-0","http://dx.doi.org/10.1007/s12273-025-1292-0")</f>
        <v>http://dx.doi.org/10.1007/s12273-025-1292-0</v>
      </c>
    </row>
    <row r="40" spans="1:22" x14ac:dyDescent="0.4">
      <c r="C40" s="1" t="s">
        <v>3076</v>
      </c>
      <c r="D40" s="1" t="s">
        <v>3077</v>
      </c>
      <c r="E40" s="1" t="s">
        <v>3078</v>
      </c>
      <c r="F40" s="1" t="s">
        <v>12</v>
      </c>
      <c r="G40" s="1" t="s">
        <v>262</v>
      </c>
      <c r="H40" s="1" t="s">
        <v>3079</v>
      </c>
      <c r="I40" s="1" t="s">
        <v>3080</v>
      </c>
      <c r="J40" s="1" t="s">
        <v>3081</v>
      </c>
      <c r="K40" s="1" t="s">
        <v>3082</v>
      </c>
      <c r="L40" s="1" t="s">
        <v>3083</v>
      </c>
      <c r="M40" s="1" t="s">
        <v>3084</v>
      </c>
      <c r="N40" s="1" t="s">
        <v>3085</v>
      </c>
      <c r="O40" s="1" t="s">
        <v>21</v>
      </c>
      <c r="P40" s="1">
        <v>2025</v>
      </c>
      <c r="Q40" s="1">
        <v>18</v>
      </c>
      <c r="R40" s="1">
        <v>5</v>
      </c>
      <c r="S40" s="1">
        <v>1121</v>
      </c>
      <c r="T40" s="1">
        <v>1142</v>
      </c>
      <c r="U40" s="1" t="s">
        <v>3086</v>
      </c>
      <c r="V40" s="1" t="str">
        <f>HYPERLINK("http://dx.doi.org/10.1007/s12273-025-1258-2","http://dx.doi.org/10.1007/s12273-025-1258-2")</f>
        <v>http://dx.doi.org/10.1007/s12273-025-1258-2</v>
      </c>
    </row>
    <row r="41" spans="1:22" x14ac:dyDescent="0.4">
      <c r="C41" s="1" t="s">
        <v>3199</v>
      </c>
      <c r="D41" s="1" t="s">
        <v>3200</v>
      </c>
      <c r="E41" s="1" t="s">
        <v>3201</v>
      </c>
      <c r="F41" s="1" t="s">
        <v>12</v>
      </c>
      <c r="G41" s="1" t="s">
        <v>262</v>
      </c>
      <c r="H41" s="1" t="s">
        <v>3202</v>
      </c>
      <c r="I41" s="1" t="s">
        <v>3203</v>
      </c>
      <c r="J41" s="1" t="s">
        <v>3204</v>
      </c>
      <c r="K41" s="1" t="s">
        <v>3205</v>
      </c>
      <c r="L41" s="1" t="s">
        <v>284</v>
      </c>
      <c r="M41" s="1" t="s">
        <v>285</v>
      </c>
      <c r="N41" s="1" t="s">
        <v>286</v>
      </c>
      <c r="O41" s="1" t="s">
        <v>23</v>
      </c>
      <c r="P41" s="1">
        <v>2025</v>
      </c>
      <c r="Q41" s="1">
        <v>18</v>
      </c>
      <c r="R41" s="1">
        <v>4</v>
      </c>
      <c r="S41" s="1">
        <v>829</v>
      </c>
      <c r="T41" s="1">
        <v>846</v>
      </c>
      <c r="U41" s="1" t="s">
        <v>3206</v>
      </c>
      <c r="V41" s="1" t="str">
        <f>HYPERLINK("http://dx.doi.org/10.1007/s12273-025-1239-5","http://dx.doi.org/10.1007/s12273-025-1239-5")</f>
        <v>http://dx.doi.org/10.1007/s12273-025-1239-5</v>
      </c>
    </row>
    <row r="42" spans="1:22" x14ac:dyDescent="0.4">
      <c r="C42" s="1" t="s">
        <v>3254</v>
      </c>
      <c r="D42" s="1" t="s">
        <v>3255</v>
      </c>
      <c r="E42" s="1" t="s">
        <v>3256</v>
      </c>
      <c r="F42" s="1" t="s">
        <v>12</v>
      </c>
      <c r="G42" s="1" t="s">
        <v>262</v>
      </c>
      <c r="H42" s="1" t="s">
        <v>3257</v>
      </c>
      <c r="I42" s="1" t="s">
        <v>3258</v>
      </c>
      <c r="J42" s="1" t="s">
        <v>3259</v>
      </c>
      <c r="K42" s="1" t="s">
        <v>3260</v>
      </c>
      <c r="L42" s="1" t="s">
        <v>3261</v>
      </c>
      <c r="M42" s="1" t="s">
        <v>3262</v>
      </c>
      <c r="N42" s="1" t="s">
        <v>3263</v>
      </c>
      <c r="O42" s="1" t="s">
        <v>25</v>
      </c>
      <c r="P42" s="1">
        <v>2025</v>
      </c>
      <c r="Q42" s="1">
        <v>18</v>
      </c>
      <c r="R42" s="1">
        <v>3</v>
      </c>
      <c r="S42" s="1">
        <v>581</v>
      </c>
      <c r="T42" s="1">
        <v>599</v>
      </c>
      <c r="U42" s="1" t="s">
        <v>3264</v>
      </c>
      <c r="V42" s="1" t="str">
        <f>HYPERLINK("http://dx.doi.org/10.1007/s12273-025-1228-8","http://dx.doi.org/10.1007/s12273-025-1228-8")</f>
        <v>http://dx.doi.org/10.1007/s12273-025-1228-8</v>
      </c>
    </row>
    <row r="43" spans="1:22" x14ac:dyDescent="0.4">
      <c r="C43" s="1" t="s">
        <v>3359</v>
      </c>
      <c r="D43" s="1" t="s">
        <v>3360</v>
      </c>
      <c r="E43" s="1" t="s">
        <v>3361</v>
      </c>
      <c r="F43" s="1" t="s">
        <v>12</v>
      </c>
      <c r="G43" s="1" t="s">
        <v>262</v>
      </c>
      <c r="H43" s="1" t="s">
        <v>3362</v>
      </c>
      <c r="I43" s="1" t="s">
        <v>3363</v>
      </c>
      <c r="J43" s="1" t="s">
        <v>3364</v>
      </c>
      <c r="K43" s="1" t="s">
        <v>3365</v>
      </c>
      <c r="L43" s="1" t="s">
        <v>3366</v>
      </c>
      <c r="M43" s="1" t="s">
        <v>3367</v>
      </c>
      <c r="N43" s="1" t="s">
        <v>3368</v>
      </c>
      <c r="O43" s="1" t="s">
        <v>25</v>
      </c>
      <c r="P43" s="1">
        <v>2025</v>
      </c>
      <c r="Q43" s="1">
        <v>18</v>
      </c>
      <c r="R43" s="1">
        <v>3</v>
      </c>
      <c r="S43" s="1">
        <v>601</v>
      </c>
      <c r="T43" s="1">
        <v>617</v>
      </c>
      <c r="U43" s="1" t="s">
        <v>3369</v>
      </c>
      <c r="V43" s="1" t="str">
        <f>HYPERLINK("http://dx.doi.org/10.1007/s12273-024-1229-7","http://dx.doi.org/10.1007/s12273-024-1229-7")</f>
        <v>http://dx.doi.org/10.1007/s12273-024-1229-7</v>
      </c>
    </row>
    <row r="44" spans="1:22" x14ac:dyDescent="0.4">
      <c r="C44" s="1" t="s">
        <v>3426</v>
      </c>
      <c r="D44" s="1" t="s">
        <v>3427</v>
      </c>
      <c r="E44" s="1" t="s">
        <v>3428</v>
      </c>
      <c r="F44" s="1" t="s">
        <v>12</v>
      </c>
      <c r="G44" s="1" t="s">
        <v>262</v>
      </c>
      <c r="H44" s="1" t="s">
        <v>3429</v>
      </c>
      <c r="I44" s="1" t="s">
        <v>3430</v>
      </c>
      <c r="J44" s="1" t="s">
        <v>3431</v>
      </c>
      <c r="K44" s="1" t="s">
        <v>3432</v>
      </c>
      <c r="L44" s="1" t="s">
        <v>665</v>
      </c>
      <c r="M44" s="1" t="s">
        <v>3433</v>
      </c>
      <c r="N44" s="1" t="s">
        <v>3434</v>
      </c>
      <c r="O44" s="1" t="s">
        <v>26</v>
      </c>
      <c r="P44" s="1">
        <v>2025</v>
      </c>
      <c r="Q44" s="1">
        <v>18</v>
      </c>
      <c r="R44" s="1">
        <v>2</v>
      </c>
      <c r="S44" s="1">
        <v>281</v>
      </c>
      <c r="T44" s="1">
        <v>293</v>
      </c>
      <c r="U44" s="1" t="s">
        <v>3435</v>
      </c>
      <c r="V44" s="1" t="str">
        <f>HYPERLINK("http://dx.doi.org/10.1007/s12273-024-1213-7","http://dx.doi.org/10.1007/s12273-024-1213-7")</f>
        <v>http://dx.doi.org/10.1007/s12273-024-1213-7</v>
      </c>
    </row>
    <row r="45" spans="1:22" x14ac:dyDescent="0.4">
      <c r="C45" s="1" t="s">
        <v>1515</v>
      </c>
      <c r="D45" s="1" t="s">
        <v>1516</v>
      </c>
      <c r="E45" s="1" t="s">
        <v>1517</v>
      </c>
      <c r="F45" s="1" t="s">
        <v>12</v>
      </c>
      <c r="G45" s="1" t="s">
        <v>262</v>
      </c>
      <c r="H45" s="1" t="s">
        <v>1518</v>
      </c>
      <c r="I45" s="1" t="s">
        <v>1519</v>
      </c>
      <c r="J45" s="1" t="s">
        <v>1520</v>
      </c>
      <c r="K45" s="1" t="s">
        <v>1521</v>
      </c>
      <c r="L45" s="1" t="s">
        <v>295</v>
      </c>
      <c r="M45" s="1" t="s">
        <v>1522</v>
      </c>
      <c r="N45" s="1" t="s">
        <v>1523</v>
      </c>
      <c r="O45" s="1" t="s">
        <v>24</v>
      </c>
      <c r="P45" s="1">
        <v>2025</v>
      </c>
      <c r="Q45" s="1">
        <v>18</v>
      </c>
      <c r="R45" s="1">
        <v>1</v>
      </c>
      <c r="S45" s="1">
        <v>3</v>
      </c>
      <c r="T45" s="1">
        <v>18</v>
      </c>
      <c r="U45" s="1" t="s">
        <v>1525</v>
      </c>
      <c r="V45" s="1" t="str">
        <f>HYPERLINK("http://dx.doi.org/10.1007/s12273-024-1214-6","http://dx.doi.org/10.1007/s12273-024-1214-6")</f>
        <v>http://dx.doi.org/10.1007/s12273-024-1214-6</v>
      </c>
    </row>
    <row r="47" spans="1:22" x14ac:dyDescent="0.4">
      <c r="A47" s="10" t="s">
        <v>73</v>
      </c>
      <c r="D47" s="10"/>
      <c r="E47" s="10"/>
      <c r="F47" s="10"/>
    </row>
    <row r="48" spans="1:22" x14ac:dyDescent="0.4">
      <c r="C48" s="1" t="s">
        <v>1987</v>
      </c>
      <c r="D48" s="1" t="s">
        <v>1988</v>
      </c>
      <c r="E48" s="1" t="s">
        <v>1989</v>
      </c>
      <c r="F48" s="1" t="s">
        <v>12</v>
      </c>
      <c r="G48" s="1" t="s">
        <v>262</v>
      </c>
      <c r="H48" s="1" t="s">
        <v>1990</v>
      </c>
      <c r="I48" s="1" t="s">
        <v>1991</v>
      </c>
      <c r="J48" s="1" t="s">
        <v>1992</v>
      </c>
      <c r="K48" s="1" t="s">
        <v>1993</v>
      </c>
      <c r="L48" s="1" t="s">
        <v>1994</v>
      </c>
      <c r="M48" s="1" t="s">
        <v>1995</v>
      </c>
      <c r="N48" s="1" t="s">
        <v>690</v>
      </c>
      <c r="O48" s="1" t="s">
        <v>14</v>
      </c>
      <c r="P48" s="1">
        <v>2025</v>
      </c>
      <c r="Q48" s="1">
        <v>18</v>
      </c>
      <c r="R48" s="1">
        <v>11</v>
      </c>
      <c r="S48" s="1">
        <v>3031</v>
      </c>
      <c r="T48" s="1">
        <v>3043</v>
      </c>
      <c r="U48" s="1" t="s">
        <v>1996</v>
      </c>
      <c r="V48" s="1" t="str">
        <f>HYPERLINK("http://dx.doi.org/10.1007/s12273-025-1361-4","http://dx.doi.org/10.1007/s12273-025-1361-4")</f>
        <v>http://dx.doi.org/10.1007/s12273-025-1361-4</v>
      </c>
    </row>
    <row r="50" spans="1:22" ht="13" x14ac:dyDescent="0.4">
      <c r="A50" s="10" t="s">
        <v>1765</v>
      </c>
      <c r="B50" s="10" t="s">
        <v>3586</v>
      </c>
      <c r="E50" s="10"/>
      <c r="F50" s="10"/>
    </row>
    <row r="51" spans="1:22" x14ac:dyDescent="0.4">
      <c r="C51" s="1" t="s">
        <v>783</v>
      </c>
      <c r="D51" s="1" t="s">
        <v>784</v>
      </c>
      <c r="E51" s="1" t="s">
        <v>785</v>
      </c>
      <c r="F51" s="1" t="s">
        <v>12</v>
      </c>
      <c r="G51" s="1" t="s">
        <v>262</v>
      </c>
      <c r="H51" s="1" t="s">
        <v>786</v>
      </c>
      <c r="I51" s="1" t="s">
        <v>787</v>
      </c>
      <c r="J51" s="1" t="s">
        <v>788</v>
      </c>
      <c r="K51" s="1" t="s">
        <v>789</v>
      </c>
      <c r="L51" s="1" t="s">
        <v>790</v>
      </c>
      <c r="M51" s="1" t="s">
        <v>791</v>
      </c>
      <c r="N51" s="1" t="s">
        <v>792</v>
      </c>
      <c r="O51" s="1" t="s">
        <v>20</v>
      </c>
      <c r="P51" s="1">
        <v>2024</v>
      </c>
      <c r="Q51" s="1">
        <v>17</v>
      </c>
      <c r="R51" s="1">
        <v>7</v>
      </c>
      <c r="S51" s="1">
        <v>1201</v>
      </c>
      <c r="T51" s="1">
        <v>1212</v>
      </c>
      <c r="U51" s="1" t="s">
        <v>793</v>
      </c>
      <c r="V51" s="1" t="str">
        <f>HYPERLINK("http://dx.doi.org/10.1007/s12273-024-1135-4","http://dx.doi.org/10.1007/s12273-024-1135-4")</f>
        <v>http://dx.doi.org/10.1007/s12273-024-1135-4</v>
      </c>
    </row>
    <row r="52" spans="1:22" x14ac:dyDescent="0.4">
      <c r="C52" s="1" t="s">
        <v>1287</v>
      </c>
      <c r="D52" s="1" t="s">
        <v>1288</v>
      </c>
      <c r="E52" s="1" t="s">
        <v>1289</v>
      </c>
      <c r="F52" s="1" t="s">
        <v>12</v>
      </c>
      <c r="G52" s="1" t="s">
        <v>262</v>
      </c>
      <c r="H52" s="1" t="s">
        <v>1290</v>
      </c>
      <c r="I52" s="1" t="s">
        <v>1291</v>
      </c>
      <c r="J52" s="1" t="s">
        <v>1292</v>
      </c>
      <c r="K52" s="1" t="s">
        <v>1293</v>
      </c>
      <c r="L52" s="1" t="s">
        <v>1294</v>
      </c>
      <c r="M52" s="1" t="s">
        <v>1295</v>
      </c>
      <c r="N52" s="1" t="s">
        <v>1296</v>
      </c>
      <c r="O52" s="1" t="s">
        <v>14</v>
      </c>
      <c r="P52" s="1">
        <v>2024</v>
      </c>
      <c r="Q52" s="1">
        <v>17</v>
      </c>
      <c r="R52" s="1">
        <v>11</v>
      </c>
      <c r="S52" s="1">
        <v>2007</v>
      </c>
      <c r="T52" s="1">
        <v>2015</v>
      </c>
      <c r="U52" s="1" t="s">
        <v>1297</v>
      </c>
      <c r="V52" s="1" t="str">
        <f>HYPERLINK("http://dx.doi.org/10.1007/s12273-024-1172-z","http://dx.doi.org/10.1007/s12273-024-1172-z")</f>
        <v>http://dx.doi.org/10.1007/s12273-024-1172-z</v>
      </c>
    </row>
    <row r="53" spans="1:22" x14ac:dyDescent="0.4">
      <c r="C53" s="1" t="s">
        <v>2193</v>
      </c>
      <c r="D53" s="1" t="s">
        <v>2194</v>
      </c>
      <c r="E53" s="1" t="s">
        <v>2195</v>
      </c>
      <c r="F53" s="1" t="s">
        <v>12</v>
      </c>
      <c r="G53" s="1" t="s">
        <v>262</v>
      </c>
      <c r="H53" s="1" t="s">
        <v>2196</v>
      </c>
      <c r="I53" s="1" t="s">
        <v>2197</v>
      </c>
      <c r="J53" s="1" t="s">
        <v>2198</v>
      </c>
      <c r="K53" s="1" t="s">
        <v>2199</v>
      </c>
      <c r="L53" s="1" t="s">
        <v>291</v>
      </c>
      <c r="M53" s="1" t="s">
        <v>2200</v>
      </c>
      <c r="N53" s="1" t="s">
        <v>2201</v>
      </c>
      <c r="O53" s="1" t="s">
        <v>15</v>
      </c>
      <c r="P53" s="1">
        <v>2025</v>
      </c>
      <c r="Q53" s="1">
        <v>18</v>
      </c>
      <c r="R53" s="1">
        <v>10</v>
      </c>
      <c r="S53" s="1">
        <v>2643</v>
      </c>
      <c r="T53" s="1">
        <v>2655</v>
      </c>
      <c r="U53" s="1" t="s">
        <v>2202</v>
      </c>
      <c r="V53" s="1" t="str">
        <f>HYPERLINK("http://dx.doi.org/10.1007/s12273-025-1339-2","http://dx.doi.org/10.1007/s12273-025-1339-2")</f>
        <v>http://dx.doi.org/10.1007/s12273-025-1339-2</v>
      </c>
    </row>
    <row r="54" spans="1:22" x14ac:dyDescent="0.4">
      <c r="C54" s="1" t="s">
        <v>2542</v>
      </c>
      <c r="D54" s="1" t="s">
        <v>2543</v>
      </c>
      <c r="E54" s="1" t="s">
        <v>2544</v>
      </c>
      <c r="F54" s="1" t="s">
        <v>12</v>
      </c>
      <c r="G54" s="1" t="s">
        <v>262</v>
      </c>
      <c r="H54" s="1" t="s">
        <v>2545</v>
      </c>
      <c r="I54" s="1" t="s">
        <v>2546</v>
      </c>
      <c r="J54" s="1" t="s">
        <v>2547</v>
      </c>
      <c r="K54" s="1" t="s">
        <v>2548</v>
      </c>
      <c r="L54" s="1" t="s">
        <v>2549</v>
      </c>
      <c r="M54" s="1" t="s">
        <v>2550</v>
      </c>
      <c r="N54" s="1" t="s">
        <v>2551</v>
      </c>
      <c r="O54" s="1" t="s">
        <v>19</v>
      </c>
      <c r="P54" s="1">
        <v>2025</v>
      </c>
      <c r="Q54" s="1">
        <v>18</v>
      </c>
      <c r="R54" s="1">
        <v>8</v>
      </c>
      <c r="S54" s="1">
        <v>2085</v>
      </c>
      <c r="T54" s="1">
        <v>2092</v>
      </c>
      <c r="U54" s="1" t="s">
        <v>2552</v>
      </c>
      <c r="V54" s="1" t="str">
        <f>HYPERLINK("http://dx.doi.org/10.1007/s12273-025-1309-8","http://dx.doi.org/10.1007/s12273-025-1309-8")</f>
        <v>http://dx.doi.org/10.1007/s12273-025-1309-8</v>
      </c>
    </row>
    <row r="55" spans="1:22" x14ac:dyDescent="0.4">
      <c r="C55" s="1" t="s">
        <v>2805</v>
      </c>
      <c r="D55" s="1" t="s">
        <v>2806</v>
      </c>
      <c r="E55" s="1" t="s">
        <v>2807</v>
      </c>
      <c r="F55" s="1" t="s">
        <v>12</v>
      </c>
      <c r="G55" s="1" t="s">
        <v>262</v>
      </c>
      <c r="H55" s="1" t="s">
        <v>2808</v>
      </c>
      <c r="I55" s="1" t="s">
        <v>2809</v>
      </c>
      <c r="J55" s="1" t="s">
        <v>2810</v>
      </c>
      <c r="K55" s="1" t="s">
        <v>2811</v>
      </c>
      <c r="L55" s="1" t="s">
        <v>2812</v>
      </c>
      <c r="M55" s="1" t="s">
        <v>2813</v>
      </c>
      <c r="N55" s="1" t="s">
        <v>2814</v>
      </c>
      <c r="O55" s="1" t="s">
        <v>21</v>
      </c>
      <c r="P55" s="1">
        <v>2025</v>
      </c>
      <c r="Q55" s="1">
        <v>18</v>
      </c>
      <c r="R55" s="1">
        <v>5</v>
      </c>
      <c r="S55" s="1">
        <v>1143</v>
      </c>
      <c r="T55" s="1">
        <v>1162</v>
      </c>
      <c r="U55" s="1" t="s">
        <v>2815</v>
      </c>
      <c r="V55" s="1" t="str">
        <f>HYPERLINK("http://dx.doi.org/10.1007/s12273-025-1291-1","http://dx.doi.org/10.1007/s12273-025-1291-1")</f>
        <v>http://dx.doi.org/10.1007/s12273-025-1291-1</v>
      </c>
    </row>
    <row r="57" spans="1:22" ht="13.7" x14ac:dyDescent="0.5">
      <c r="A57" s="4" t="s">
        <v>74</v>
      </c>
      <c r="B57" s="10" t="s">
        <v>75</v>
      </c>
      <c r="E57" s="4"/>
      <c r="F57" s="10"/>
    </row>
    <row r="58" spans="1:22" x14ac:dyDescent="0.4">
      <c r="C58" s="1" t="s">
        <v>1436</v>
      </c>
      <c r="D58" s="1" t="s">
        <v>1437</v>
      </c>
      <c r="E58" s="1" t="s">
        <v>1438</v>
      </c>
      <c r="F58" s="1" t="s">
        <v>12</v>
      </c>
      <c r="G58" s="1" t="s">
        <v>262</v>
      </c>
      <c r="H58" s="1" t="s">
        <v>1439</v>
      </c>
      <c r="I58" s="1" t="s">
        <v>1440</v>
      </c>
      <c r="J58" s="1" t="s">
        <v>1441</v>
      </c>
      <c r="K58" s="1" t="s">
        <v>1442</v>
      </c>
      <c r="L58" s="1" t="s">
        <v>1443</v>
      </c>
      <c r="M58" s="1" t="s">
        <v>1444</v>
      </c>
      <c r="N58" s="1" t="s">
        <v>1445</v>
      </c>
      <c r="O58" s="1" t="s">
        <v>27</v>
      </c>
      <c r="P58" s="1">
        <v>2024</v>
      </c>
      <c r="Q58" s="1">
        <v>17</v>
      </c>
      <c r="R58" s="1">
        <v>12</v>
      </c>
      <c r="S58" s="1">
        <v>2249</v>
      </c>
      <c r="T58" s="1">
        <v>2262</v>
      </c>
      <c r="U58" s="1" t="s">
        <v>1446</v>
      </c>
      <c r="V58" s="1" t="str">
        <f>HYPERLINK("http://dx.doi.org/10.1007/s12273-024-1184-8","http://dx.doi.org/10.1007/s12273-024-1184-8")</f>
        <v>http://dx.doi.org/10.1007/s12273-024-1184-8</v>
      </c>
    </row>
    <row r="59" spans="1:22" ht="13.7" x14ac:dyDescent="0.5">
      <c r="A59" s="4" t="s">
        <v>1781</v>
      </c>
      <c r="B59" s="4" t="s">
        <v>77</v>
      </c>
      <c r="E59" s="4"/>
      <c r="F59" s="10"/>
    </row>
    <row r="60" spans="1:22" ht="13.7" x14ac:dyDescent="0.5">
      <c r="A60" s="4"/>
      <c r="B60" s="4"/>
      <c r="C60" s="1" t="s">
        <v>1134</v>
      </c>
      <c r="D60" s="1" t="s">
        <v>1135</v>
      </c>
      <c r="E60" s="1" t="s">
        <v>1136</v>
      </c>
      <c r="F60" s="1" t="s">
        <v>12</v>
      </c>
      <c r="G60" s="1" t="s">
        <v>1080</v>
      </c>
      <c r="H60" s="1" t="s">
        <v>1137</v>
      </c>
      <c r="I60" s="1" t="s">
        <v>1138</v>
      </c>
      <c r="J60" s="1" t="s">
        <v>1139</v>
      </c>
      <c r="K60" s="1" t="s">
        <v>1140</v>
      </c>
      <c r="L60" s="1" t="s">
        <v>282</v>
      </c>
      <c r="M60" s="1" t="s">
        <v>1141</v>
      </c>
      <c r="N60" s="1" t="s">
        <v>1142</v>
      </c>
      <c r="O60" s="1" t="s">
        <v>15</v>
      </c>
      <c r="P60" s="1">
        <v>2024</v>
      </c>
      <c r="Q60" s="1">
        <v>17</v>
      </c>
      <c r="R60" s="1">
        <v>10</v>
      </c>
      <c r="S60" s="1">
        <v>1749</v>
      </c>
      <c r="T60" s="1">
        <v>1765</v>
      </c>
      <c r="U60" s="1" t="s">
        <v>1143</v>
      </c>
      <c r="V60" s="1" t="str">
        <f>HYPERLINK("http://dx.doi.org/10.1007/s12273-024-1155-0","http://dx.doi.org/10.1007/s12273-024-1155-0")</f>
        <v>http://dx.doi.org/10.1007/s12273-024-1155-0</v>
      </c>
    </row>
    <row r="61" spans="1:22" ht="13.7" x14ac:dyDescent="0.5">
      <c r="A61" s="4"/>
      <c r="B61" s="4"/>
      <c r="E61" s="11"/>
    </row>
    <row r="62" spans="1:22" ht="13.7" x14ac:dyDescent="0.5">
      <c r="A62" s="4"/>
      <c r="B62" s="4"/>
    </row>
  </sheetData>
  <phoneticPr fontId="2" type="noConversion"/>
  <conditionalFormatting sqref="U1">
    <cfRule type="duplicateValues" dxfId="382" priority="23" stopIfTrue="1"/>
  </conditionalFormatting>
  <conditionalFormatting sqref="U3">
    <cfRule type="duplicateValues" dxfId="381" priority="29" stopIfTrue="1"/>
  </conditionalFormatting>
  <conditionalFormatting sqref="U4">
    <cfRule type="duplicateValues" dxfId="380" priority="22" stopIfTrue="1"/>
  </conditionalFormatting>
  <conditionalFormatting sqref="U5">
    <cfRule type="duplicateValues" dxfId="379" priority="20" stopIfTrue="1"/>
  </conditionalFormatting>
  <conditionalFormatting sqref="U6">
    <cfRule type="duplicateValues" dxfId="378" priority="19" stopIfTrue="1"/>
  </conditionalFormatting>
  <conditionalFormatting sqref="U7">
    <cfRule type="duplicateValues" dxfId="377" priority="18" stopIfTrue="1"/>
  </conditionalFormatting>
  <conditionalFormatting sqref="U8">
    <cfRule type="duplicateValues" dxfId="376" priority="16" stopIfTrue="1"/>
  </conditionalFormatting>
  <conditionalFormatting sqref="U9">
    <cfRule type="duplicateValues" dxfId="375" priority="35" stopIfTrue="1"/>
  </conditionalFormatting>
  <conditionalFormatting sqref="U10">
    <cfRule type="duplicateValues" dxfId="374" priority="15" stopIfTrue="1"/>
  </conditionalFormatting>
  <conditionalFormatting sqref="U11">
    <cfRule type="duplicateValues" dxfId="373" priority="14" stopIfTrue="1"/>
  </conditionalFormatting>
  <conditionalFormatting sqref="U12">
    <cfRule type="duplicateValues" dxfId="372" priority="13" stopIfTrue="1"/>
  </conditionalFormatting>
  <conditionalFormatting sqref="U13">
    <cfRule type="duplicateValues" dxfId="371" priority="12" stopIfTrue="1"/>
  </conditionalFormatting>
  <conditionalFormatting sqref="U14">
    <cfRule type="duplicateValues" dxfId="370" priority="9" stopIfTrue="1"/>
  </conditionalFormatting>
  <conditionalFormatting sqref="U15">
    <cfRule type="duplicateValues" dxfId="369" priority="7" stopIfTrue="1"/>
  </conditionalFormatting>
  <conditionalFormatting sqref="U16">
    <cfRule type="duplicateValues" dxfId="368" priority="6" stopIfTrue="1"/>
  </conditionalFormatting>
  <conditionalFormatting sqref="U17">
    <cfRule type="duplicateValues" dxfId="367" priority="5" stopIfTrue="1"/>
  </conditionalFormatting>
  <conditionalFormatting sqref="U18">
    <cfRule type="duplicateValues" dxfId="366" priority="4" stopIfTrue="1"/>
  </conditionalFormatting>
  <conditionalFormatting sqref="U19">
    <cfRule type="duplicateValues" dxfId="365" priority="3" stopIfTrue="1"/>
  </conditionalFormatting>
  <conditionalFormatting sqref="U20 U22">
    <cfRule type="duplicateValues" dxfId="364" priority="2" stopIfTrue="1"/>
  </conditionalFormatting>
  <conditionalFormatting sqref="U21">
    <cfRule type="duplicateValues" dxfId="363" priority="1" stopIfTrue="1"/>
  </conditionalFormatting>
  <conditionalFormatting sqref="U24">
    <cfRule type="duplicateValues" dxfId="362" priority="31" stopIfTrue="1"/>
  </conditionalFormatting>
  <conditionalFormatting sqref="U25">
    <cfRule type="duplicateValues" dxfId="361" priority="30" stopIfTrue="1"/>
  </conditionalFormatting>
  <conditionalFormatting sqref="U26">
    <cfRule type="duplicateValues" dxfId="360" priority="28" stopIfTrue="1"/>
  </conditionalFormatting>
  <conditionalFormatting sqref="U27">
    <cfRule type="duplicateValues" dxfId="359" priority="25" stopIfTrue="1"/>
  </conditionalFormatting>
  <conditionalFormatting sqref="U28">
    <cfRule type="duplicateValues" dxfId="358" priority="24" stopIfTrue="1"/>
  </conditionalFormatting>
  <conditionalFormatting sqref="U46">
    <cfRule type="duplicateValues" dxfId="357" priority="8" stopIfTrue="1"/>
  </conditionalFormatting>
  <conditionalFormatting sqref="U49">
    <cfRule type="duplicateValues" dxfId="356" priority="33" stopIfTrue="1"/>
  </conditionalFormatting>
  <conditionalFormatting sqref="U56">
    <cfRule type="duplicateValues" dxfId="355" priority="10" stopIfTrue="1"/>
  </conditionalFormatting>
  <conditionalFormatting sqref="U58">
    <cfRule type="duplicateValues" dxfId="354" priority="26" stopIfTrue="1"/>
  </conditionalFormatting>
  <conditionalFormatting sqref="U60">
    <cfRule type="duplicateValues" dxfId="353" priority="27" stopIfTrue="1"/>
  </conditionalFormatting>
  <conditionalFormatting sqref="U62">
    <cfRule type="duplicateValues" dxfId="352" priority="34" stopIfTrue="1"/>
  </conditionalFormatting>
  <conditionalFormatting sqref="U63">
    <cfRule type="duplicateValues" dxfId="351" priority="11" stopIfTrue="1"/>
  </conditionalFormatting>
  <conditionalFormatting sqref="U64">
    <cfRule type="duplicateValues" dxfId="350" priority="17" stopIfTrue="1"/>
  </conditionalFormatting>
  <conditionalFormatting sqref="U65">
    <cfRule type="duplicateValues" dxfId="349" priority="21" stopIfTrue="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3"/>
  <sheetViews>
    <sheetView topLeftCell="A70" zoomScaleNormal="100" workbookViewId="0">
      <selection activeCell="C104" sqref="C104"/>
    </sheetView>
  </sheetViews>
  <sheetFormatPr defaultColWidth="9.1171875" defaultRowHeight="12.7" x14ac:dyDescent="0.4"/>
  <cols>
    <col min="1" max="1" width="15.29296875" style="1" customWidth="1"/>
    <col min="2" max="2" width="17.41015625" style="1" customWidth="1"/>
    <col min="3" max="3" width="15.87890625" style="1" customWidth="1"/>
    <col min="4" max="4" width="20.703125" style="1" customWidth="1"/>
    <col min="5" max="5" width="15.87890625" style="1" customWidth="1"/>
    <col min="6" max="6" width="20.703125" style="1" customWidth="1"/>
    <col min="7" max="16384" width="9.1171875" style="1"/>
  </cols>
  <sheetData>
    <row r="1" spans="1:22" s="9" customFormat="1" ht="38" x14ac:dyDescent="0.4">
      <c r="C1" s="16" t="s">
        <v>162</v>
      </c>
      <c r="D1" s="16" t="s">
        <v>0</v>
      </c>
      <c r="E1" s="16" t="s">
        <v>161</v>
      </c>
      <c r="F1" s="16" t="s">
        <v>1</v>
      </c>
      <c r="G1" s="16" t="s">
        <v>255</v>
      </c>
      <c r="H1" s="16" t="s">
        <v>163</v>
      </c>
      <c r="I1" s="16" t="s">
        <v>254</v>
      </c>
      <c r="J1" s="16" t="s">
        <v>164</v>
      </c>
      <c r="K1" s="16" t="s">
        <v>256</v>
      </c>
      <c r="L1" s="16" t="s">
        <v>257</v>
      </c>
      <c r="M1" s="16" t="s">
        <v>258</v>
      </c>
      <c r="N1" s="16" t="s">
        <v>259</v>
      </c>
      <c r="O1" s="16" t="s">
        <v>2</v>
      </c>
      <c r="P1" s="16" t="s">
        <v>3</v>
      </c>
      <c r="Q1" s="16" t="s">
        <v>4</v>
      </c>
      <c r="R1" s="16" t="s">
        <v>5</v>
      </c>
      <c r="S1" s="16" t="s">
        <v>6</v>
      </c>
      <c r="T1" s="16" t="s">
        <v>7</v>
      </c>
      <c r="U1" s="16" t="s">
        <v>8</v>
      </c>
      <c r="V1" s="16" t="s">
        <v>9</v>
      </c>
    </row>
    <row r="2" spans="1:22" ht="13.7" x14ac:dyDescent="0.5">
      <c r="A2" s="4" t="s">
        <v>79</v>
      </c>
      <c r="B2" s="10" t="s">
        <v>80</v>
      </c>
      <c r="E2" s="4"/>
      <c r="F2" s="10"/>
    </row>
    <row r="3" spans="1:22" ht="13.7" x14ac:dyDescent="0.4">
      <c r="A3" s="2"/>
      <c r="B3" s="2"/>
      <c r="C3" s="1" t="s">
        <v>2419</v>
      </c>
      <c r="D3" s="1" t="s">
        <v>2420</v>
      </c>
      <c r="E3" s="1" t="s">
        <v>2421</v>
      </c>
      <c r="F3" s="1" t="s">
        <v>12</v>
      </c>
      <c r="G3" s="1" t="s">
        <v>262</v>
      </c>
      <c r="H3" s="1" t="s">
        <v>2422</v>
      </c>
      <c r="I3" s="1" t="s">
        <v>2423</v>
      </c>
      <c r="J3" s="1" t="s">
        <v>2424</v>
      </c>
      <c r="K3" s="1" t="s">
        <v>2425</v>
      </c>
      <c r="L3" s="1" t="s">
        <v>2426</v>
      </c>
      <c r="M3" s="1" t="s">
        <v>2427</v>
      </c>
      <c r="N3" s="1" t="s">
        <v>274</v>
      </c>
      <c r="O3" s="1" t="s">
        <v>19</v>
      </c>
      <c r="P3" s="1">
        <v>2025</v>
      </c>
      <c r="Q3" s="1">
        <v>18</v>
      </c>
      <c r="R3" s="1">
        <v>8</v>
      </c>
      <c r="S3" s="1">
        <v>1929</v>
      </c>
      <c r="T3" s="1">
        <v>1944</v>
      </c>
      <c r="U3" s="1" t="s">
        <v>2428</v>
      </c>
      <c r="V3" s="1" t="str">
        <f>HYPERLINK("http://dx.doi.org/10.1007/s12273-025-1307-x","http://dx.doi.org/10.1007/s12273-025-1307-x")</f>
        <v>http://dx.doi.org/10.1007/s12273-025-1307-x</v>
      </c>
    </row>
    <row r="4" spans="1:22" x14ac:dyDescent="0.4">
      <c r="A4" s="10"/>
      <c r="B4" s="10"/>
      <c r="C4" s="1" t="s">
        <v>361</v>
      </c>
      <c r="D4" s="1" t="s">
        <v>362</v>
      </c>
      <c r="E4" s="1" t="s">
        <v>363</v>
      </c>
      <c r="F4" s="1" t="s">
        <v>12</v>
      </c>
      <c r="G4" s="1" t="s">
        <v>262</v>
      </c>
      <c r="H4" s="1" t="s">
        <v>364</v>
      </c>
      <c r="I4" s="1" t="s">
        <v>365</v>
      </c>
      <c r="J4" s="1" t="s">
        <v>366</v>
      </c>
      <c r="K4" s="1" t="s">
        <v>367</v>
      </c>
      <c r="L4" s="1" t="s">
        <v>368</v>
      </c>
      <c r="M4" s="1" t="s">
        <v>369</v>
      </c>
      <c r="N4" s="1" t="s">
        <v>370</v>
      </c>
      <c r="O4" s="1" t="s">
        <v>23</v>
      </c>
      <c r="P4" s="1">
        <v>2024</v>
      </c>
      <c r="Q4" s="1">
        <v>17</v>
      </c>
      <c r="R4" s="1">
        <v>4</v>
      </c>
      <c r="S4" s="1">
        <v>525</v>
      </c>
      <c r="T4" s="1">
        <v>542</v>
      </c>
      <c r="U4" s="1" t="s">
        <v>371</v>
      </c>
      <c r="V4" s="1" t="str">
        <f>HYPERLINK("http://dx.doi.org/10.1007/s12273-023-1096-z","http://dx.doi.org/10.1007/s12273-023-1096-z")</f>
        <v>http://dx.doi.org/10.1007/s12273-023-1096-z</v>
      </c>
    </row>
    <row r="5" spans="1:22" x14ac:dyDescent="0.4">
      <c r="C5" s="1" t="s">
        <v>2519</v>
      </c>
      <c r="D5" s="1" t="s">
        <v>2520</v>
      </c>
      <c r="E5" s="1" t="s">
        <v>2521</v>
      </c>
      <c r="F5" s="1" t="s">
        <v>12</v>
      </c>
      <c r="G5" s="1" t="s">
        <v>262</v>
      </c>
      <c r="H5" s="1" t="s">
        <v>2522</v>
      </c>
      <c r="I5" s="1" t="s">
        <v>2523</v>
      </c>
      <c r="J5" s="1" t="s">
        <v>2524</v>
      </c>
      <c r="K5" s="1" t="s">
        <v>2525</v>
      </c>
      <c r="L5" s="1" t="s">
        <v>2526</v>
      </c>
      <c r="M5" s="1" t="s">
        <v>2527</v>
      </c>
      <c r="N5" s="1" t="s">
        <v>2528</v>
      </c>
      <c r="O5" s="1" t="s">
        <v>16</v>
      </c>
      <c r="P5" s="1">
        <v>2025</v>
      </c>
      <c r="Q5" s="1">
        <v>18</v>
      </c>
      <c r="R5" s="1">
        <v>9</v>
      </c>
      <c r="S5" s="1">
        <v>2251</v>
      </c>
      <c r="T5" s="1">
        <v>2273</v>
      </c>
      <c r="U5" s="1" t="s">
        <v>2529</v>
      </c>
      <c r="V5" s="1" t="str">
        <f>HYPERLINK("http://dx.doi.org/10.1007/s12273-025-1320-0","http://dx.doi.org/10.1007/s12273-025-1320-0")</f>
        <v>http://dx.doi.org/10.1007/s12273-025-1320-0</v>
      </c>
    </row>
    <row r="6" spans="1:22" ht="13.7" x14ac:dyDescent="0.5">
      <c r="A6" s="4"/>
      <c r="B6" s="4"/>
      <c r="C6" s="1" t="s">
        <v>529</v>
      </c>
      <c r="D6" s="1" t="s">
        <v>530</v>
      </c>
      <c r="E6" s="1" t="s">
        <v>531</v>
      </c>
      <c r="F6" s="1" t="s">
        <v>12</v>
      </c>
      <c r="G6" s="1" t="s">
        <v>262</v>
      </c>
      <c r="H6" s="1" t="s">
        <v>532</v>
      </c>
      <c r="I6" s="1" t="s">
        <v>533</v>
      </c>
      <c r="J6" s="1" t="s">
        <v>534</v>
      </c>
      <c r="K6" s="1" t="s">
        <v>535</v>
      </c>
      <c r="L6" s="1" t="s">
        <v>301</v>
      </c>
      <c r="M6" s="1" t="s">
        <v>536</v>
      </c>
      <c r="N6" s="1" t="s">
        <v>537</v>
      </c>
      <c r="O6" s="1" t="s">
        <v>21</v>
      </c>
      <c r="P6" s="1">
        <v>2024</v>
      </c>
      <c r="Q6" s="1">
        <v>17</v>
      </c>
      <c r="R6" s="1">
        <v>5</v>
      </c>
      <c r="S6" s="1">
        <v>785</v>
      </c>
      <c r="T6" s="1">
        <v>798</v>
      </c>
      <c r="U6" s="1" t="s">
        <v>538</v>
      </c>
      <c r="V6" s="1" t="str">
        <f>HYPERLINK("http://dx.doi.org/10.1007/s12273-024-1105-x","http://dx.doi.org/10.1007/s12273-024-1105-x")</f>
        <v>http://dx.doi.org/10.1007/s12273-024-1105-x</v>
      </c>
    </row>
    <row r="7" spans="1:22" ht="13.7" x14ac:dyDescent="0.5">
      <c r="A7" s="4"/>
      <c r="B7" s="4"/>
      <c r="C7" s="1" t="s">
        <v>613</v>
      </c>
      <c r="D7" s="1" t="s">
        <v>614</v>
      </c>
      <c r="E7" s="1" t="s">
        <v>615</v>
      </c>
      <c r="F7" s="1" t="s">
        <v>12</v>
      </c>
      <c r="G7" s="1" t="s">
        <v>262</v>
      </c>
      <c r="H7" s="1" t="s">
        <v>616</v>
      </c>
      <c r="I7" s="1" t="s">
        <v>617</v>
      </c>
      <c r="J7" s="1" t="s">
        <v>618</v>
      </c>
      <c r="K7" s="1" t="s">
        <v>619</v>
      </c>
      <c r="L7" s="1" t="s">
        <v>439</v>
      </c>
      <c r="M7" s="1" t="s">
        <v>620</v>
      </c>
      <c r="N7" s="1" t="s">
        <v>621</v>
      </c>
      <c r="O7" s="1" t="s">
        <v>22</v>
      </c>
      <c r="P7" s="1">
        <v>2024</v>
      </c>
      <c r="Q7" s="1">
        <v>17</v>
      </c>
      <c r="R7" s="1">
        <v>6</v>
      </c>
      <c r="S7" s="1">
        <v>907</v>
      </c>
      <c r="T7" s="1">
        <v>932</v>
      </c>
      <c r="U7" s="1" t="s">
        <v>622</v>
      </c>
      <c r="V7" s="1" t="str">
        <f>HYPERLINK("http://dx.doi.org/10.1007/s12273-024-1119-4","http://dx.doi.org/10.1007/s12273-024-1119-4")</f>
        <v>http://dx.doi.org/10.1007/s12273-024-1119-4</v>
      </c>
    </row>
    <row r="8" spans="1:22" ht="13.7" x14ac:dyDescent="0.5">
      <c r="A8" s="4"/>
      <c r="B8" s="4"/>
      <c r="C8" s="1" t="s">
        <v>2601</v>
      </c>
      <c r="D8" s="1" t="s">
        <v>2602</v>
      </c>
      <c r="E8" s="1" t="s">
        <v>2603</v>
      </c>
      <c r="F8" s="1" t="s">
        <v>12</v>
      </c>
      <c r="G8" s="1" t="s">
        <v>262</v>
      </c>
      <c r="H8" s="1" t="s">
        <v>2604</v>
      </c>
      <c r="I8" s="1" t="s">
        <v>2605</v>
      </c>
      <c r="J8" s="1" t="s">
        <v>2606</v>
      </c>
      <c r="K8" s="1" t="s">
        <v>2607</v>
      </c>
      <c r="L8" s="1" t="s">
        <v>2608</v>
      </c>
      <c r="M8" s="1" t="s">
        <v>2609</v>
      </c>
      <c r="N8" s="1" t="s">
        <v>2610</v>
      </c>
      <c r="O8" s="1" t="s">
        <v>20</v>
      </c>
      <c r="P8" s="1">
        <v>2025</v>
      </c>
      <c r="Q8" s="1">
        <v>18</v>
      </c>
      <c r="R8" s="1">
        <v>7</v>
      </c>
      <c r="S8" s="1">
        <v>1677</v>
      </c>
      <c r="T8" s="1">
        <v>1696</v>
      </c>
      <c r="U8" s="1" t="s">
        <v>2611</v>
      </c>
      <c r="V8" s="1" t="str">
        <f>HYPERLINK("http://dx.doi.org/10.1007/s12273-025-1280-4","http://dx.doi.org/10.1007/s12273-025-1280-4")</f>
        <v>http://dx.doi.org/10.1007/s12273-025-1280-4</v>
      </c>
    </row>
    <row r="9" spans="1:22" x14ac:dyDescent="0.4">
      <c r="C9" s="1" t="s">
        <v>2733</v>
      </c>
      <c r="D9" s="1" t="s">
        <v>2734</v>
      </c>
      <c r="E9" s="1" t="s">
        <v>2735</v>
      </c>
      <c r="F9" s="1" t="s">
        <v>12</v>
      </c>
      <c r="G9" s="1" t="s">
        <v>262</v>
      </c>
      <c r="H9" s="1" t="s">
        <v>2736</v>
      </c>
      <c r="I9" s="1" t="s">
        <v>2737</v>
      </c>
      <c r="J9" s="1" t="s">
        <v>2738</v>
      </c>
      <c r="K9" s="1" t="s">
        <v>2739</v>
      </c>
      <c r="L9" s="1" t="s">
        <v>2740</v>
      </c>
      <c r="M9" s="1" t="s">
        <v>2741</v>
      </c>
      <c r="N9" s="1" t="s">
        <v>2742</v>
      </c>
      <c r="O9" s="1" t="s">
        <v>22</v>
      </c>
      <c r="P9" s="1">
        <v>2025</v>
      </c>
      <c r="Q9" s="1">
        <v>18</v>
      </c>
      <c r="R9" s="1">
        <v>6</v>
      </c>
      <c r="S9" s="1">
        <v>1275</v>
      </c>
      <c r="T9" s="1">
        <v>1298</v>
      </c>
      <c r="U9" s="1" t="s">
        <v>2743</v>
      </c>
      <c r="V9" s="1" t="str">
        <f>HYPERLINK("http://dx.doi.org/10.1007/s12273-025-1256-4","http://dx.doi.org/10.1007/s12273-025-1256-4")</f>
        <v>http://dx.doi.org/10.1007/s12273-025-1256-4</v>
      </c>
    </row>
    <row r="10" spans="1:22" x14ac:dyDescent="0.4">
      <c r="A10" s="10"/>
      <c r="B10" s="10"/>
      <c r="C10" s="1" t="s">
        <v>2817</v>
      </c>
      <c r="D10" s="1" t="s">
        <v>2818</v>
      </c>
      <c r="E10" s="1" t="s">
        <v>2819</v>
      </c>
      <c r="F10" s="1" t="s">
        <v>12</v>
      </c>
      <c r="G10" s="1" t="s">
        <v>262</v>
      </c>
      <c r="H10" s="1" t="s">
        <v>2820</v>
      </c>
      <c r="I10" s="1" t="s">
        <v>13</v>
      </c>
      <c r="J10" s="1" t="s">
        <v>2821</v>
      </c>
      <c r="K10" s="1" t="s">
        <v>2822</v>
      </c>
      <c r="L10" s="1" t="s">
        <v>2823</v>
      </c>
      <c r="M10" s="1" t="s">
        <v>2824</v>
      </c>
      <c r="N10" s="1" t="s">
        <v>2825</v>
      </c>
      <c r="O10" s="1" t="s">
        <v>20</v>
      </c>
      <c r="P10" s="1">
        <v>2025</v>
      </c>
      <c r="Q10" s="1">
        <v>18</v>
      </c>
      <c r="R10" s="1">
        <v>7</v>
      </c>
      <c r="S10" s="1">
        <v>1717</v>
      </c>
      <c r="T10" s="1">
        <v>1726</v>
      </c>
      <c r="U10" s="1" t="s">
        <v>2826</v>
      </c>
      <c r="V10" s="1" t="str">
        <f>HYPERLINK("http://dx.doi.org/10.1007/s12273-025-1289-8","http://dx.doi.org/10.1007/s12273-025-1289-8")</f>
        <v>http://dx.doi.org/10.1007/s12273-025-1289-8</v>
      </c>
    </row>
    <row r="11" spans="1:22" x14ac:dyDescent="0.4">
      <c r="C11" s="1" t="s">
        <v>3065</v>
      </c>
      <c r="D11" s="1" t="s">
        <v>3066</v>
      </c>
      <c r="E11" s="1" t="s">
        <v>3067</v>
      </c>
      <c r="F11" s="1" t="s">
        <v>12</v>
      </c>
      <c r="G11" s="1" t="s">
        <v>262</v>
      </c>
      <c r="H11" s="1" t="s">
        <v>3068</v>
      </c>
      <c r="I11" s="1" t="s">
        <v>3069</v>
      </c>
      <c r="J11" s="1" t="s">
        <v>3070</v>
      </c>
      <c r="K11" s="1" t="s">
        <v>3071</v>
      </c>
      <c r="L11" s="1" t="s">
        <v>2947</v>
      </c>
      <c r="M11" s="1" t="s">
        <v>3072</v>
      </c>
      <c r="N11" s="1" t="s">
        <v>3073</v>
      </c>
      <c r="O11" s="1" t="s">
        <v>22</v>
      </c>
      <c r="P11" s="1">
        <v>2025</v>
      </c>
      <c r="Q11" s="1">
        <v>18</v>
      </c>
      <c r="R11" s="1">
        <v>6</v>
      </c>
      <c r="S11" s="1">
        <v>1299</v>
      </c>
      <c r="T11" s="1">
        <v>1316</v>
      </c>
      <c r="U11" s="1" t="s">
        <v>3074</v>
      </c>
      <c r="V11" s="1" t="str">
        <f>HYPERLINK("http://dx.doi.org/10.1007/s12273-025-1259-1","http://dx.doi.org/10.1007/s12273-025-1259-1")</f>
        <v>http://dx.doi.org/10.1007/s12273-025-1259-1</v>
      </c>
    </row>
    <row r="12" spans="1:22" x14ac:dyDescent="0.4">
      <c r="C12" s="1" t="s">
        <v>806</v>
      </c>
      <c r="D12" s="1" t="s">
        <v>807</v>
      </c>
      <c r="E12" s="1" t="s">
        <v>808</v>
      </c>
      <c r="F12" s="1" t="s">
        <v>12</v>
      </c>
      <c r="G12" s="1" t="s">
        <v>262</v>
      </c>
      <c r="H12" s="1" t="s">
        <v>809</v>
      </c>
      <c r="I12" s="1" t="s">
        <v>810</v>
      </c>
      <c r="J12" s="1" t="s">
        <v>811</v>
      </c>
      <c r="K12" s="1" t="s">
        <v>812</v>
      </c>
      <c r="L12" s="1" t="s">
        <v>813</v>
      </c>
      <c r="M12" s="1" t="s">
        <v>814</v>
      </c>
      <c r="N12" s="1" t="s">
        <v>815</v>
      </c>
      <c r="O12" s="1" t="s">
        <v>19</v>
      </c>
      <c r="P12" s="1">
        <v>2024</v>
      </c>
      <c r="Q12" s="1">
        <v>17</v>
      </c>
      <c r="R12" s="1">
        <v>8</v>
      </c>
      <c r="S12" s="1">
        <v>1231</v>
      </c>
      <c r="T12" s="1">
        <v>1251</v>
      </c>
      <c r="U12" s="1" t="s">
        <v>816</v>
      </c>
      <c r="V12" s="1" t="str">
        <f>HYPERLINK("http://dx.doi.org/10.1007/s12273-024-1137-2","http://dx.doi.org/10.1007/s12273-024-1137-2")</f>
        <v>http://dx.doi.org/10.1007/s12273-024-1137-2</v>
      </c>
    </row>
    <row r="13" spans="1:22" x14ac:dyDescent="0.4">
      <c r="C13" s="1" t="s">
        <v>944</v>
      </c>
      <c r="D13" s="1" t="s">
        <v>945</v>
      </c>
      <c r="E13" s="1" t="s">
        <v>946</v>
      </c>
      <c r="F13" s="1" t="s">
        <v>12</v>
      </c>
      <c r="G13" s="1" t="s">
        <v>262</v>
      </c>
      <c r="H13" s="1" t="s">
        <v>947</v>
      </c>
      <c r="I13" s="1" t="s">
        <v>948</v>
      </c>
      <c r="J13" s="1" t="s">
        <v>949</v>
      </c>
      <c r="K13" s="1" t="s">
        <v>950</v>
      </c>
      <c r="L13" s="1" t="s">
        <v>951</v>
      </c>
      <c r="M13" s="1" t="s">
        <v>952</v>
      </c>
      <c r="N13" s="1" t="s">
        <v>304</v>
      </c>
      <c r="O13" s="1" t="s">
        <v>16</v>
      </c>
      <c r="P13" s="1">
        <v>2024</v>
      </c>
      <c r="Q13" s="1">
        <v>17</v>
      </c>
      <c r="R13" s="1">
        <v>9</v>
      </c>
      <c r="S13" s="1">
        <v>1461</v>
      </c>
      <c r="T13" s="1">
        <v>1489</v>
      </c>
      <c r="U13" s="1" t="s">
        <v>953</v>
      </c>
      <c r="V13" s="1" t="str">
        <f>HYPERLINK("http://dx.doi.org/10.1007/s12273-024-1141-6","http://dx.doi.org/10.1007/s12273-024-1141-6")</f>
        <v>http://dx.doi.org/10.1007/s12273-024-1141-6</v>
      </c>
    </row>
    <row r="14" spans="1:22" x14ac:dyDescent="0.4">
      <c r="C14" s="1" t="s">
        <v>3279</v>
      </c>
      <c r="D14" s="1" t="s">
        <v>3280</v>
      </c>
      <c r="E14" s="1" t="s">
        <v>3281</v>
      </c>
      <c r="F14" s="1" t="s">
        <v>12</v>
      </c>
      <c r="G14" s="1" t="s">
        <v>262</v>
      </c>
      <c r="H14" s="1" t="s">
        <v>3282</v>
      </c>
      <c r="I14" s="1" t="s">
        <v>3283</v>
      </c>
      <c r="J14" s="1" t="s">
        <v>3284</v>
      </c>
      <c r="K14" s="1" t="s">
        <v>3285</v>
      </c>
      <c r="L14" s="1" t="s">
        <v>3286</v>
      </c>
      <c r="M14" s="1" t="s">
        <v>3287</v>
      </c>
      <c r="N14" s="1" t="s">
        <v>1320</v>
      </c>
      <c r="O14" s="1" t="s">
        <v>25</v>
      </c>
      <c r="P14" s="1">
        <v>2025</v>
      </c>
      <c r="Q14" s="1">
        <v>18</v>
      </c>
      <c r="R14" s="1">
        <v>3</v>
      </c>
      <c r="S14" s="1">
        <v>663</v>
      </c>
      <c r="T14" s="1">
        <v>678</v>
      </c>
      <c r="U14" s="1" t="s">
        <v>3288</v>
      </c>
      <c r="V14" s="1" t="str">
        <f>HYPERLINK("http://dx.doi.org/10.1007/s12273-025-1226-x","http://dx.doi.org/10.1007/s12273-025-1226-x")</f>
        <v>http://dx.doi.org/10.1007/s12273-025-1226-x</v>
      </c>
    </row>
    <row r="15" spans="1:22" x14ac:dyDescent="0.4">
      <c r="C15" s="1" t="s">
        <v>3336</v>
      </c>
      <c r="D15" s="1" t="s">
        <v>3337</v>
      </c>
      <c r="E15" s="1" t="s">
        <v>3338</v>
      </c>
      <c r="F15" s="1" t="s">
        <v>12</v>
      </c>
      <c r="G15" s="1" t="s">
        <v>262</v>
      </c>
      <c r="H15" s="1" t="s">
        <v>3339</v>
      </c>
      <c r="I15" s="1" t="s">
        <v>3340</v>
      </c>
      <c r="J15" s="1" t="s">
        <v>3341</v>
      </c>
      <c r="K15" s="1" t="s">
        <v>3342</v>
      </c>
      <c r="L15" s="1" t="s">
        <v>282</v>
      </c>
      <c r="M15" s="1" t="s">
        <v>3343</v>
      </c>
      <c r="N15" s="1" t="s">
        <v>3344</v>
      </c>
      <c r="O15" s="1" t="s">
        <v>25</v>
      </c>
      <c r="P15" s="1">
        <v>2025</v>
      </c>
      <c r="Q15" s="1">
        <v>18</v>
      </c>
      <c r="R15" s="1">
        <v>3</v>
      </c>
      <c r="S15" s="1">
        <v>499</v>
      </c>
      <c r="T15" s="1">
        <v>513</v>
      </c>
      <c r="U15" s="1" t="s">
        <v>3345</v>
      </c>
      <c r="V15" s="1" t="str">
        <f>HYPERLINK("http://dx.doi.org/10.1007/s12273-024-1223-5","http://dx.doi.org/10.1007/s12273-024-1223-5")</f>
        <v>http://dx.doi.org/10.1007/s12273-024-1223-5</v>
      </c>
    </row>
    <row r="16" spans="1:22" x14ac:dyDescent="0.4">
      <c r="C16" s="1" t="s">
        <v>3347</v>
      </c>
      <c r="D16" s="1" t="s">
        <v>3348</v>
      </c>
      <c r="E16" s="1" t="s">
        <v>3349</v>
      </c>
      <c r="F16" s="1" t="s">
        <v>12</v>
      </c>
      <c r="G16" s="1" t="s">
        <v>262</v>
      </c>
      <c r="H16" s="1" t="s">
        <v>3350</v>
      </c>
      <c r="I16" s="1" t="s">
        <v>3351</v>
      </c>
      <c r="J16" s="1" t="s">
        <v>3352</v>
      </c>
      <c r="K16" s="1" t="s">
        <v>3353</v>
      </c>
      <c r="L16" s="1" t="s">
        <v>3354</v>
      </c>
      <c r="M16" s="1" t="s">
        <v>3355</v>
      </c>
      <c r="N16" s="1" t="s">
        <v>3356</v>
      </c>
      <c r="O16" s="1" t="s">
        <v>26</v>
      </c>
      <c r="P16" s="1">
        <v>2025</v>
      </c>
      <c r="Q16" s="1">
        <v>18</v>
      </c>
      <c r="R16" s="1">
        <v>2</v>
      </c>
      <c r="S16" s="1">
        <v>385</v>
      </c>
      <c r="T16" s="1">
        <v>401</v>
      </c>
      <c r="U16" s="1" t="s">
        <v>3357</v>
      </c>
      <c r="V16" s="1" t="str">
        <f>HYPERLINK("http://dx.doi.org/10.1007/s12273-024-1218-2","http://dx.doi.org/10.1007/s12273-024-1218-2")</f>
        <v>http://dx.doi.org/10.1007/s12273-024-1218-2</v>
      </c>
    </row>
    <row r="17" spans="1:22" x14ac:dyDescent="0.4">
      <c r="C17" s="1" t="s">
        <v>1634</v>
      </c>
      <c r="D17" s="1" t="s">
        <v>1635</v>
      </c>
      <c r="E17" s="1" t="s">
        <v>1636</v>
      </c>
      <c r="F17" s="1" t="s">
        <v>12</v>
      </c>
      <c r="G17" s="1" t="s">
        <v>262</v>
      </c>
      <c r="H17" s="1" t="s">
        <v>1637</v>
      </c>
      <c r="I17" s="1" t="s">
        <v>1638</v>
      </c>
      <c r="J17" s="1" t="s">
        <v>1639</v>
      </c>
      <c r="K17" s="1" t="s">
        <v>1640</v>
      </c>
      <c r="L17" s="1" t="s">
        <v>1641</v>
      </c>
      <c r="M17" s="1" t="s">
        <v>1177</v>
      </c>
      <c r="N17" s="1" t="s">
        <v>1178</v>
      </c>
      <c r="O17" s="1" t="s">
        <v>24</v>
      </c>
      <c r="P17" s="1">
        <v>2025</v>
      </c>
      <c r="Q17" s="1">
        <v>18</v>
      </c>
      <c r="R17" s="1">
        <v>1</v>
      </c>
      <c r="S17" s="1">
        <v>207</v>
      </c>
      <c r="T17" s="1">
        <v>223</v>
      </c>
      <c r="U17" s="1" t="s">
        <v>1642</v>
      </c>
      <c r="V17" s="1" t="str">
        <f>HYPERLINK("http://dx.doi.org/10.1007/s12273-024-1211-9","http://dx.doi.org/10.1007/s12273-024-1211-9")</f>
        <v>http://dx.doi.org/10.1007/s12273-024-1211-9</v>
      </c>
    </row>
    <row r="18" spans="1:22" x14ac:dyDescent="0.4">
      <c r="C18" s="1" t="s">
        <v>1540</v>
      </c>
      <c r="D18" s="1" t="s">
        <v>1541</v>
      </c>
      <c r="E18" s="1" t="s">
        <v>1542</v>
      </c>
      <c r="F18" s="1" t="s">
        <v>12</v>
      </c>
      <c r="G18" s="1" t="s">
        <v>262</v>
      </c>
      <c r="H18" s="1" t="s">
        <v>1543</v>
      </c>
      <c r="I18" s="1" t="s">
        <v>1544</v>
      </c>
      <c r="J18" s="1" t="s">
        <v>1545</v>
      </c>
      <c r="K18" s="1" t="s">
        <v>1546</v>
      </c>
      <c r="L18" s="1" t="s">
        <v>1547</v>
      </c>
      <c r="M18" s="1" t="s">
        <v>1548</v>
      </c>
      <c r="N18" s="1" t="s">
        <v>1549</v>
      </c>
      <c r="O18" s="1" t="s">
        <v>24</v>
      </c>
      <c r="P18" s="1">
        <v>2025</v>
      </c>
      <c r="Q18" s="1">
        <v>18</v>
      </c>
      <c r="R18" s="1">
        <v>1</v>
      </c>
      <c r="S18" s="1">
        <v>47</v>
      </c>
      <c r="T18" s="1">
        <v>63</v>
      </c>
      <c r="U18" s="1" t="s">
        <v>1550</v>
      </c>
      <c r="V18" s="1" t="str">
        <f>HYPERLINK("http://dx.doi.org/10.1007/s12273-024-1205-7","http://dx.doi.org/10.1007/s12273-024-1205-7")</f>
        <v>http://dx.doi.org/10.1007/s12273-024-1205-7</v>
      </c>
    </row>
    <row r="20" spans="1:22" ht="13.7" x14ac:dyDescent="0.5">
      <c r="A20" s="4" t="s">
        <v>81</v>
      </c>
      <c r="B20" s="10" t="s">
        <v>82</v>
      </c>
      <c r="E20" s="4"/>
      <c r="F20" s="10"/>
    </row>
    <row r="21" spans="1:22" x14ac:dyDescent="0.4">
      <c r="C21" s="1" t="s">
        <v>1939</v>
      </c>
      <c r="D21" s="1" t="s">
        <v>1940</v>
      </c>
      <c r="E21" s="1" t="s">
        <v>1941</v>
      </c>
      <c r="F21" s="1" t="s">
        <v>12</v>
      </c>
      <c r="G21" s="1" t="s">
        <v>262</v>
      </c>
      <c r="H21" s="1" t="s">
        <v>1942</v>
      </c>
      <c r="I21" s="1" t="s">
        <v>1943</v>
      </c>
      <c r="J21" s="1" t="s">
        <v>1944</v>
      </c>
      <c r="K21" s="1" t="s">
        <v>1945</v>
      </c>
      <c r="L21" s="1" t="s">
        <v>1946</v>
      </c>
      <c r="M21" s="1" t="s">
        <v>1947</v>
      </c>
      <c r="N21" s="1" t="s">
        <v>1948</v>
      </c>
      <c r="O21" s="1" t="s">
        <v>14</v>
      </c>
      <c r="P21" s="1">
        <v>2025</v>
      </c>
      <c r="Q21" s="1">
        <v>18</v>
      </c>
      <c r="R21" s="1">
        <v>11</v>
      </c>
      <c r="S21" s="1">
        <v>2985</v>
      </c>
      <c r="T21" s="1">
        <v>3010</v>
      </c>
      <c r="U21" s="1" t="s">
        <v>1949</v>
      </c>
      <c r="V21" s="1" t="str">
        <f>HYPERLINK("http://dx.doi.org/10.1007/s12273-025-1355-2","http://dx.doi.org/10.1007/s12273-025-1355-2")</f>
        <v>http://dx.doi.org/10.1007/s12273-025-1355-2</v>
      </c>
    </row>
    <row r="22" spans="1:22" x14ac:dyDescent="0.4">
      <c r="C22" s="1" t="s">
        <v>552</v>
      </c>
      <c r="D22" s="1" t="s">
        <v>553</v>
      </c>
      <c r="E22" s="1" t="s">
        <v>554</v>
      </c>
      <c r="F22" s="1" t="s">
        <v>12</v>
      </c>
      <c r="G22" s="1" t="s">
        <v>262</v>
      </c>
      <c r="H22" s="1" t="s">
        <v>555</v>
      </c>
      <c r="I22" s="1" t="s">
        <v>556</v>
      </c>
      <c r="J22" s="1" t="s">
        <v>557</v>
      </c>
      <c r="K22" s="1" t="s">
        <v>558</v>
      </c>
      <c r="L22" s="1" t="s">
        <v>559</v>
      </c>
      <c r="M22" s="1" t="s">
        <v>560</v>
      </c>
      <c r="N22" s="1" t="s">
        <v>561</v>
      </c>
      <c r="O22" s="1" t="s">
        <v>21</v>
      </c>
      <c r="P22" s="1">
        <v>2024</v>
      </c>
      <c r="Q22" s="1">
        <v>17</v>
      </c>
      <c r="R22" s="1">
        <v>5</v>
      </c>
      <c r="S22" s="1">
        <v>819</v>
      </c>
      <c r="T22" s="1">
        <v>838</v>
      </c>
      <c r="U22" s="1" t="s">
        <v>562</v>
      </c>
      <c r="V22" s="1" t="str">
        <f>HYPERLINK("http://dx.doi.org/10.1007/s12273-024-1108-7","http://dx.doi.org/10.1007/s12273-024-1108-7")</f>
        <v>http://dx.doi.org/10.1007/s12273-024-1108-7</v>
      </c>
    </row>
    <row r="23" spans="1:22" x14ac:dyDescent="0.4">
      <c r="C23" s="1" t="s">
        <v>576</v>
      </c>
      <c r="D23" s="1" t="s">
        <v>577</v>
      </c>
      <c r="E23" s="1" t="s">
        <v>578</v>
      </c>
      <c r="F23" s="1" t="s">
        <v>12</v>
      </c>
      <c r="G23" s="1" t="s">
        <v>262</v>
      </c>
      <c r="H23" s="1" t="s">
        <v>579</v>
      </c>
      <c r="I23" s="1" t="s">
        <v>580</v>
      </c>
      <c r="J23" s="1" t="s">
        <v>581</v>
      </c>
      <c r="K23" s="1" t="s">
        <v>582</v>
      </c>
      <c r="L23" s="1" t="s">
        <v>583</v>
      </c>
      <c r="M23" s="1" t="s">
        <v>584</v>
      </c>
      <c r="N23" s="1" t="s">
        <v>585</v>
      </c>
      <c r="O23" s="1" t="s">
        <v>22</v>
      </c>
      <c r="P23" s="1">
        <v>2024</v>
      </c>
      <c r="Q23" s="1">
        <v>17</v>
      </c>
      <c r="R23" s="1">
        <v>6</v>
      </c>
      <c r="S23" s="1">
        <v>857</v>
      </c>
      <c r="T23" s="1">
        <v>875</v>
      </c>
      <c r="U23" s="1" t="s">
        <v>586</v>
      </c>
      <c r="V23" s="1" t="str">
        <f>HYPERLINK("http://dx.doi.org/10.1007/s12273-024-1126-5","http://dx.doi.org/10.1007/s12273-024-1126-5")</f>
        <v>http://dx.doi.org/10.1007/s12273-024-1126-5</v>
      </c>
    </row>
    <row r="24" spans="1:22" x14ac:dyDescent="0.4">
      <c r="C24" s="1" t="s">
        <v>1868</v>
      </c>
      <c r="D24" s="1" t="s">
        <v>1869</v>
      </c>
      <c r="E24" s="1" t="s">
        <v>1870</v>
      </c>
      <c r="F24" s="1" t="s">
        <v>12</v>
      </c>
      <c r="G24" s="1" t="s">
        <v>262</v>
      </c>
      <c r="H24" s="1" t="s">
        <v>1871</v>
      </c>
      <c r="I24" s="1" t="s">
        <v>1872</v>
      </c>
      <c r="J24" s="1" t="s">
        <v>1873</v>
      </c>
      <c r="K24" s="1" t="s">
        <v>1874</v>
      </c>
      <c r="L24" s="1" t="s">
        <v>1875</v>
      </c>
      <c r="M24" s="1" t="s">
        <v>1876</v>
      </c>
      <c r="N24" s="1" t="s">
        <v>1877</v>
      </c>
      <c r="O24" s="1" t="s">
        <v>27</v>
      </c>
      <c r="P24" s="1">
        <v>2025</v>
      </c>
      <c r="Q24" s="1">
        <v>18</v>
      </c>
      <c r="R24" s="1">
        <v>12</v>
      </c>
      <c r="S24" s="1">
        <v>3201</v>
      </c>
      <c r="T24" s="1">
        <v>3224</v>
      </c>
      <c r="U24" s="1" t="s">
        <v>1878</v>
      </c>
      <c r="V24" s="1" t="str">
        <f>HYPERLINK("http://dx.doi.org/10.1007/s12273-025-1364-1","http://dx.doi.org/10.1007/s12273-025-1364-1")</f>
        <v>http://dx.doi.org/10.1007/s12273-025-1364-1</v>
      </c>
    </row>
    <row r="25" spans="1:22" x14ac:dyDescent="0.4">
      <c r="A25" s="10"/>
      <c r="B25" s="10"/>
      <c r="C25" s="1" t="s">
        <v>1915</v>
      </c>
      <c r="D25" s="1" t="s">
        <v>1916</v>
      </c>
      <c r="E25" s="1" t="s">
        <v>1917</v>
      </c>
      <c r="F25" s="1" t="s">
        <v>12</v>
      </c>
      <c r="G25" s="1" t="s">
        <v>262</v>
      </c>
      <c r="H25" s="1" t="s">
        <v>1918</v>
      </c>
      <c r="I25" s="1" t="s">
        <v>1919</v>
      </c>
      <c r="J25" s="1" t="s">
        <v>1920</v>
      </c>
      <c r="K25" s="1" t="s">
        <v>1921</v>
      </c>
      <c r="L25" s="1" t="s">
        <v>1922</v>
      </c>
      <c r="M25" s="1" t="s">
        <v>1923</v>
      </c>
      <c r="N25" s="1" t="s">
        <v>1924</v>
      </c>
      <c r="O25" s="1" t="s">
        <v>14</v>
      </c>
      <c r="P25" s="1">
        <v>2025</v>
      </c>
      <c r="Q25" s="1">
        <v>18</v>
      </c>
      <c r="R25" s="1">
        <v>11</v>
      </c>
      <c r="S25" s="1">
        <v>2963</v>
      </c>
      <c r="T25" s="1">
        <v>2983</v>
      </c>
      <c r="U25" s="1" t="s">
        <v>1925</v>
      </c>
      <c r="V25" s="1" t="str">
        <f>HYPERLINK("http://dx.doi.org/10.1007/s12273-025-1353-4","http://dx.doi.org/10.1007/s12273-025-1353-4")</f>
        <v>http://dx.doi.org/10.1007/s12273-025-1353-4</v>
      </c>
    </row>
    <row r="26" spans="1:22" x14ac:dyDescent="0.4">
      <c r="C26" s="1" t="s">
        <v>1089</v>
      </c>
      <c r="D26" s="1" t="s">
        <v>1090</v>
      </c>
      <c r="E26" s="1" t="s">
        <v>1091</v>
      </c>
      <c r="F26" s="1" t="s">
        <v>12</v>
      </c>
      <c r="G26" s="1" t="s">
        <v>1092</v>
      </c>
      <c r="H26" s="1" t="s">
        <v>1093</v>
      </c>
      <c r="I26" s="1" t="s">
        <v>1094</v>
      </c>
      <c r="J26" s="1" t="s">
        <v>1095</v>
      </c>
      <c r="K26" s="1" t="s">
        <v>1096</v>
      </c>
      <c r="L26" s="1" t="s">
        <v>269</v>
      </c>
      <c r="M26" s="1" t="s">
        <v>297</v>
      </c>
      <c r="N26" s="1" t="s">
        <v>290</v>
      </c>
      <c r="O26" s="1" t="s">
        <v>1073</v>
      </c>
      <c r="P26" s="1">
        <v>2024</v>
      </c>
      <c r="Q26" s="1">
        <v>17</v>
      </c>
      <c r="R26" s="1">
        <v>10</v>
      </c>
      <c r="S26" s="1">
        <v>1675</v>
      </c>
      <c r="T26" s="1">
        <v>1692</v>
      </c>
      <c r="U26" s="1" t="s">
        <v>1097</v>
      </c>
      <c r="V26" s="1" t="str">
        <f>HYPERLINK("http://dx.doi.org/10.1007/s12273-024-1170-1","http://dx.doi.org/10.1007/s12273-024-1170-1")</f>
        <v>http://dx.doi.org/10.1007/s12273-024-1170-1</v>
      </c>
    </row>
    <row r="27" spans="1:22" x14ac:dyDescent="0.4">
      <c r="C27" s="1" t="s">
        <v>1359</v>
      </c>
      <c r="D27" s="1" t="s">
        <v>1360</v>
      </c>
      <c r="E27" s="1" t="s">
        <v>1746</v>
      </c>
      <c r="F27" s="1" t="s">
        <v>12</v>
      </c>
      <c r="G27" s="1" t="s">
        <v>262</v>
      </c>
      <c r="H27" s="1" t="s">
        <v>1362</v>
      </c>
      <c r="I27" s="1" t="s">
        <v>1363</v>
      </c>
      <c r="J27" s="1" t="s">
        <v>1364</v>
      </c>
      <c r="K27" s="1" t="s">
        <v>1365</v>
      </c>
      <c r="L27" s="1" t="s">
        <v>291</v>
      </c>
      <c r="M27" s="1" t="s">
        <v>1366</v>
      </c>
      <c r="N27" s="1" t="s">
        <v>1367</v>
      </c>
      <c r="O27" s="1" t="s">
        <v>14</v>
      </c>
      <c r="P27" s="1">
        <v>2024</v>
      </c>
      <c r="Q27" s="1">
        <v>17</v>
      </c>
      <c r="R27" s="1">
        <v>11</v>
      </c>
      <c r="S27" s="1">
        <v>2125</v>
      </c>
      <c r="T27" s="1">
        <v>2143</v>
      </c>
      <c r="U27" s="1" t="s">
        <v>1368</v>
      </c>
      <c r="V27" s="1" t="str">
        <f>HYPERLINK("http://dx.doi.org/10.1007/s12273-024-1181-y","http://dx.doi.org/10.1007/s12273-024-1181-y")</f>
        <v>http://dx.doi.org/10.1007/s12273-024-1181-y</v>
      </c>
    </row>
    <row r="28" spans="1:22" x14ac:dyDescent="0.4">
      <c r="C28" s="1" t="s">
        <v>1492</v>
      </c>
      <c r="D28" s="1" t="s">
        <v>1493</v>
      </c>
      <c r="E28" s="1" t="s">
        <v>1494</v>
      </c>
      <c r="F28" s="1" t="s">
        <v>12</v>
      </c>
      <c r="G28" s="1" t="s">
        <v>262</v>
      </c>
      <c r="H28" s="1" t="s">
        <v>1495</v>
      </c>
      <c r="I28" s="1" t="s">
        <v>1496</v>
      </c>
      <c r="J28" s="1" t="s">
        <v>1497</v>
      </c>
      <c r="K28" s="1" t="s">
        <v>1498</v>
      </c>
      <c r="L28" s="1" t="s">
        <v>1499</v>
      </c>
      <c r="M28" s="1" t="s">
        <v>1500</v>
      </c>
      <c r="N28" s="1" t="s">
        <v>320</v>
      </c>
      <c r="O28" s="1" t="s">
        <v>27</v>
      </c>
      <c r="P28" s="1">
        <v>2024</v>
      </c>
      <c r="Q28" s="1">
        <v>17</v>
      </c>
      <c r="R28" s="1">
        <v>12</v>
      </c>
      <c r="S28" s="1">
        <v>2331</v>
      </c>
      <c r="T28" s="1">
        <v>2353</v>
      </c>
      <c r="U28" s="1" t="s">
        <v>1501</v>
      </c>
      <c r="V28" s="1" t="str">
        <f>HYPERLINK("http://dx.doi.org/10.1007/s12273-024-1190-x","http://dx.doi.org/10.1007/s12273-024-1190-x")</f>
        <v>http://dx.doi.org/10.1007/s12273-024-1190-x</v>
      </c>
    </row>
    <row r="29" spans="1:22" x14ac:dyDescent="0.4">
      <c r="A29" s="10"/>
      <c r="B29" s="10"/>
      <c r="C29" s="1" t="s">
        <v>1999</v>
      </c>
      <c r="D29" s="1" t="s">
        <v>2000</v>
      </c>
      <c r="E29" s="1" t="s">
        <v>2001</v>
      </c>
      <c r="F29" s="1" t="s">
        <v>12</v>
      </c>
      <c r="G29" s="1" t="s">
        <v>262</v>
      </c>
      <c r="H29" s="1" t="s">
        <v>2002</v>
      </c>
      <c r="I29" s="1" t="s">
        <v>2003</v>
      </c>
      <c r="J29" s="1" t="s">
        <v>2004</v>
      </c>
      <c r="K29" s="1" t="s">
        <v>2005</v>
      </c>
      <c r="L29" s="1" t="s">
        <v>2006</v>
      </c>
      <c r="M29" s="1" t="s">
        <v>2007</v>
      </c>
      <c r="N29" s="1" t="s">
        <v>2008</v>
      </c>
      <c r="O29" s="1" t="s">
        <v>15</v>
      </c>
      <c r="P29" s="1">
        <v>2025</v>
      </c>
      <c r="Q29" s="1">
        <v>18</v>
      </c>
      <c r="R29" s="1">
        <v>10</v>
      </c>
      <c r="S29" s="1">
        <v>2601</v>
      </c>
      <c r="T29" s="1">
        <v>2623</v>
      </c>
      <c r="U29" s="1" t="s">
        <v>2009</v>
      </c>
      <c r="V29" s="1" t="str">
        <f>HYPERLINK("http://dx.doi.org/10.1007/s12273-025-1342-7","http://dx.doi.org/10.1007/s12273-025-1342-7")</f>
        <v>http://dx.doi.org/10.1007/s12273-025-1342-7</v>
      </c>
    </row>
    <row r="30" spans="1:22" ht="13.7" x14ac:dyDescent="0.4">
      <c r="A30" s="2"/>
      <c r="B30" s="2"/>
      <c r="C30" s="1" t="s">
        <v>2020</v>
      </c>
      <c r="D30" s="1" t="s">
        <v>2021</v>
      </c>
      <c r="E30" s="1" t="s">
        <v>2022</v>
      </c>
      <c r="F30" s="1" t="s">
        <v>12</v>
      </c>
      <c r="G30" s="1" t="s">
        <v>262</v>
      </c>
      <c r="H30" s="1" t="s">
        <v>2023</v>
      </c>
      <c r="I30" s="1" t="s">
        <v>2024</v>
      </c>
      <c r="J30" s="1" t="s">
        <v>2025</v>
      </c>
      <c r="K30" s="1" t="s">
        <v>2026</v>
      </c>
      <c r="L30" s="1" t="s">
        <v>2027</v>
      </c>
      <c r="M30" s="1" t="s">
        <v>2028</v>
      </c>
      <c r="N30" s="1" t="s">
        <v>2029</v>
      </c>
      <c r="O30" s="1" t="s">
        <v>14</v>
      </c>
      <c r="P30" s="1">
        <v>2025</v>
      </c>
      <c r="Q30" s="1">
        <v>18</v>
      </c>
      <c r="R30" s="1">
        <v>11</v>
      </c>
      <c r="S30" s="1">
        <v>3133</v>
      </c>
      <c r="T30" s="1">
        <v>3152</v>
      </c>
      <c r="U30" s="1" t="s">
        <v>2030</v>
      </c>
      <c r="V30" s="1" t="str">
        <f>HYPERLINK("http://dx.doi.org/10.1007/s12273-025-1365-0","http://dx.doi.org/10.1007/s12273-025-1365-0")</f>
        <v>http://dx.doi.org/10.1007/s12273-025-1365-0</v>
      </c>
    </row>
    <row r="31" spans="1:22" x14ac:dyDescent="0.4">
      <c r="C31" s="1" t="s">
        <v>2056</v>
      </c>
      <c r="D31" s="1" t="s">
        <v>2057</v>
      </c>
      <c r="E31" s="1" t="s">
        <v>2058</v>
      </c>
      <c r="F31" s="1" t="s">
        <v>12</v>
      </c>
      <c r="G31" s="1" t="s">
        <v>262</v>
      </c>
      <c r="H31" s="1" t="s">
        <v>2059</v>
      </c>
      <c r="I31" s="1" t="s">
        <v>2060</v>
      </c>
      <c r="J31" s="1" t="s">
        <v>2061</v>
      </c>
      <c r="K31" s="1" t="s">
        <v>2062</v>
      </c>
      <c r="L31" s="1" t="s">
        <v>2063</v>
      </c>
      <c r="M31" s="1" t="s">
        <v>2064</v>
      </c>
      <c r="N31" s="1" t="s">
        <v>2065</v>
      </c>
      <c r="O31" s="1" t="s">
        <v>14</v>
      </c>
      <c r="P31" s="1">
        <v>2025</v>
      </c>
      <c r="Q31" s="1">
        <v>18</v>
      </c>
      <c r="R31" s="1">
        <v>11</v>
      </c>
      <c r="S31" s="1">
        <v>3119</v>
      </c>
      <c r="T31" s="1">
        <v>3132</v>
      </c>
      <c r="U31" s="1" t="s">
        <v>2066</v>
      </c>
      <c r="V31" s="1" t="str">
        <f>HYPERLINK("http://dx.doi.org/10.1007/s12273-025-1352-5","http://dx.doi.org/10.1007/s12273-025-1352-5")</f>
        <v>http://dx.doi.org/10.1007/s12273-025-1352-5</v>
      </c>
    </row>
    <row r="32" spans="1:22" x14ac:dyDescent="0.4">
      <c r="C32" s="1" t="s">
        <v>2145</v>
      </c>
      <c r="D32" s="1" t="s">
        <v>2146</v>
      </c>
      <c r="E32" s="1" t="s">
        <v>2147</v>
      </c>
      <c r="F32" s="1" t="s">
        <v>12</v>
      </c>
      <c r="G32" s="1" t="s">
        <v>262</v>
      </c>
      <c r="H32" s="1" t="s">
        <v>2148</v>
      </c>
      <c r="I32" s="1" t="s">
        <v>2149</v>
      </c>
      <c r="J32" s="1" t="s">
        <v>2150</v>
      </c>
      <c r="K32" s="1" t="s">
        <v>2151</v>
      </c>
      <c r="L32" s="1" t="s">
        <v>2152</v>
      </c>
      <c r="M32" s="1" t="s">
        <v>2153</v>
      </c>
      <c r="N32" s="1" t="s">
        <v>2154</v>
      </c>
      <c r="O32" s="1" t="s">
        <v>14</v>
      </c>
      <c r="P32" s="1">
        <v>2025</v>
      </c>
      <c r="Q32" s="1">
        <v>18</v>
      </c>
      <c r="R32" s="1">
        <v>11</v>
      </c>
      <c r="S32" s="1">
        <v>2945</v>
      </c>
      <c r="T32" s="1">
        <v>2962</v>
      </c>
      <c r="U32" s="1" t="s">
        <v>2155</v>
      </c>
      <c r="V32" s="1" t="str">
        <f>HYPERLINK("http://dx.doi.org/10.1007/s12273-025-1348-1","http://dx.doi.org/10.1007/s12273-025-1348-1")</f>
        <v>http://dx.doi.org/10.1007/s12273-025-1348-1</v>
      </c>
    </row>
    <row r="33" spans="1:22" x14ac:dyDescent="0.4">
      <c r="C33" s="1" t="s">
        <v>2181</v>
      </c>
      <c r="D33" s="1" t="s">
        <v>2182</v>
      </c>
      <c r="E33" s="1" t="s">
        <v>2183</v>
      </c>
      <c r="F33" s="1" t="s">
        <v>12</v>
      </c>
      <c r="G33" s="1" t="s">
        <v>262</v>
      </c>
      <c r="H33" s="1" t="s">
        <v>2184</v>
      </c>
      <c r="I33" s="1" t="s">
        <v>2185</v>
      </c>
      <c r="J33" s="1" t="s">
        <v>2186</v>
      </c>
      <c r="K33" s="1" t="s">
        <v>2187</v>
      </c>
      <c r="L33" s="1" t="s">
        <v>2188</v>
      </c>
      <c r="M33" s="1" t="s">
        <v>2189</v>
      </c>
      <c r="N33" s="1" t="s">
        <v>2190</v>
      </c>
      <c r="O33" s="1" t="s">
        <v>15</v>
      </c>
      <c r="P33" s="1">
        <v>2025</v>
      </c>
      <c r="Q33" s="1">
        <v>18</v>
      </c>
      <c r="R33" s="1">
        <v>10</v>
      </c>
      <c r="S33" s="1">
        <v>2723</v>
      </c>
      <c r="T33" s="1">
        <v>2739</v>
      </c>
      <c r="U33" s="1" t="s">
        <v>2191</v>
      </c>
      <c r="V33" s="1" t="str">
        <f>HYPERLINK("http://dx.doi.org/10.1007/s12273-025-1347-2","http://dx.doi.org/10.1007/s12273-025-1347-2")</f>
        <v>http://dx.doi.org/10.1007/s12273-025-1347-2</v>
      </c>
    </row>
    <row r="34" spans="1:22" x14ac:dyDescent="0.4">
      <c r="C34" s="1" t="s">
        <v>2169</v>
      </c>
      <c r="D34" s="1" t="s">
        <v>2170</v>
      </c>
      <c r="E34" s="1" t="s">
        <v>2171</v>
      </c>
      <c r="F34" s="1" t="s">
        <v>12</v>
      </c>
      <c r="G34" s="1" t="s">
        <v>262</v>
      </c>
      <c r="H34" s="1" t="s">
        <v>2172</v>
      </c>
      <c r="I34" s="1" t="s">
        <v>2173</v>
      </c>
      <c r="J34" s="1" t="s">
        <v>2174</v>
      </c>
      <c r="K34" s="1" t="s">
        <v>2175</v>
      </c>
      <c r="L34" s="1" t="s">
        <v>2176</v>
      </c>
      <c r="M34" s="1" t="s">
        <v>2177</v>
      </c>
      <c r="N34" s="1" t="s">
        <v>2178</v>
      </c>
      <c r="O34" s="1" t="s">
        <v>15</v>
      </c>
      <c r="P34" s="1">
        <v>2025</v>
      </c>
      <c r="Q34" s="1">
        <v>18</v>
      </c>
      <c r="R34" s="1">
        <v>10</v>
      </c>
      <c r="S34" s="1">
        <v>2807</v>
      </c>
      <c r="T34" s="1">
        <v>2824</v>
      </c>
      <c r="U34" s="1" t="s">
        <v>2179</v>
      </c>
      <c r="V34" s="1" t="str">
        <f>HYPERLINK("http://dx.doi.org/10.1007/s12273-025-1340-9","http://dx.doi.org/10.1007/s12273-025-1340-9")</f>
        <v>http://dx.doi.org/10.1007/s12273-025-1340-9</v>
      </c>
    </row>
    <row r="35" spans="1:22" x14ac:dyDescent="0.4">
      <c r="C35" s="1" t="s">
        <v>2495</v>
      </c>
      <c r="D35" s="1" t="s">
        <v>2496</v>
      </c>
      <c r="E35" s="1" t="s">
        <v>2497</v>
      </c>
      <c r="F35" s="1" t="s">
        <v>12</v>
      </c>
      <c r="G35" s="1" t="s">
        <v>262</v>
      </c>
      <c r="H35" s="1" t="s">
        <v>2498</v>
      </c>
      <c r="I35" s="1" t="s">
        <v>2499</v>
      </c>
      <c r="J35" s="1" t="s">
        <v>2500</v>
      </c>
      <c r="K35" s="1" t="s">
        <v>2501</v>
      </c>
      <c r="L35" s="1" t="s">
        <v>2502</v>
      </c>
      <c r="M35" s="1" t="s">
        <v>2503</v>
      </c>
      <c r="N35" s="1" t="s">
        <v>2504</v>
      </c>
      <c r="O35" s="1" t="s">
        <v>16</v>
      </c>
      <c r="P35" s="1">
        <v>2025</v>
      </c>
      <c r="Q35" s="1">
        <v>18</v>
      </c>
      <c r="R35" s="1">
        <v>9</v>
      </c>
      <c r="S35" s="1">
        <v>2293</v>
      </c>
      <c r="T35" s="1">
        <v>2321</v>
      </c>
      <c r="U35" s="1" t="s">
        <v>2505</v>
      </c>
      <c r="V35" s="1" t="str">
        <f>HYPERLINK("http://dx.doi.org/10.1007/s12273-025-1315-x","http://dx.doi.org/10.1007/s12273-025-1315-x")</f>
        <v>http://dx.doi.org/10.1007/s12273-025-1315-x</v>
      </c>
    </row>
    <row r="36" spans="1:22" x14ac:dyDescent="0.4">
      <c r="C36" s="1" t="s">
        <v>2507</v>
      </c>
      <c r="D36" s="1" t="s">
        <v>2508</v>
      </c>
      <c r="E36" s="1" t="s">
        <v>2509</v>
      </c>
      <c r="F36" s="1" t="s">
        <v>12</v>
      </c>
      <c r="G36" s="1" t="s">
        <v>262</v>
      </c>
      <c r="H36" s="1" t="s">
        <v>2510</v>
      </c>
      <c r="I36" s="1" t="s">
        <v>2511</v>
      </c>
      <c r="J36" s="1" t="s">
        <v>2512</v>
      </c>
      <c r="K36" s="1" t="s">
        <v>2513</v>
      </c>
      <c r="L36" s="1" t="s">
        <v>2514</v>
      </c>
      <c r="M36" s="1" t="s">
        <v>2515</v>
      </c>
      <c r="N36" s="1" t="s">
        <v>2516</v>
      </c>
      <c r="O36" s="1" t="s">
        <v>16</v>
      </c>
      <c r="P36" s="1">
        <v>2025</v>
      </c>
      <c r="Q36" s="1">
        <v>18</v>
      </c>
      <c r="R36" s="1">
        <v>9</v>
      </c>
      <c r="S36" s="1">
        <v>2227</v>
      </c>
      <c r="T36" s="1">
        <v>2249</v>
      </c>
      <c r="U36" s="1" t="s">
        <v>2517</v>
      </c>
      <c r="V36" s="1" t="str">
        <f>HYPERLINK("http://dx.doi.org/10.1007/s12273-025-1281-3","http://dx.doi.org/10.1007/s12273-025-1281-3")</f>
        <v>http://dx.doi.org/10.1007/s12273-025-1281-3</v>
      </c>
    </row>
    <row r="37" spans="1:22" x14ac:dyDescent="0.4">
      <c r="C37" s="1" t="s">
        <v>2874</v>
      </c>
      <c r="D37" s="1" t="s">
        <v>2875</v>
      </c>
      <c r="E37" s="1" t="s">
        <v>2876</v>
      </c>
      <c r="F37" s="1" t="s">
        <v>12</v>
      </c>
      <c r="G37" s="1" t="s">
        <v>262</v>
      </c>
      <c r="H37" s="1" t="s">
        <v>2877</v>
      </c>
      <c r="I37" s="1" t="s">
        <v>2878</v>
      </c>
      <c r="J37" s="1" t="s">
        <v>2879</v>
      </c>
      <c r="K37" s="1" t="s">
        <v>2880</v>
      </c>
      <c r="L37" s="1" t="s">
        <v>392</v>
      </c>
      <c r="M37" s="1" t="s">
        <v>2881</v>
      </c>
      <c r="N37" s="1" t="s">
        <v>2882</v>
      </c>
      <c r="O37" s="1" t="s">
        <v>20</v>
      </c>
      <c r="P37" s="1">
        <v>2025</v>
      </c>
      <c r="Q37" s="1">
        <v>18</v>
      </c>
      <c r="R37" s="1">
        <v>7</v>
      </c>
      <c r="S37" s="1">
        <v>1611</v>
      </c>
      <c r="T37" s="1">
        <v>1639</v>
      </c>
      <c r="U37" s="1" t="s">
        <v>2883</v>
      </c>
      <c r="V37" s="1" t="str">
        <f>HYPERLINK("http://dx.doi.org/10.1007/s12273-025-1277-z","http://dx.doi.org/10.1007/s12273-025-1277-z")</f>
        <v>http://dx.doi.org/10.1007/s12273-025-1277-z</v>
      </c>
    </row>
    <row r="38" spans="1:22" ht="13.7" x14ac:dyDescent="0.4">
      <c r="A38" s="2"/>
      <c r="B38" s="2"/>
      <c r="C38" s="1" t="s">
        <v>3088</v>
      </c>
      <c r="D38" s="1" t="s">
        <v>3089</v>
      </c>
      <c r="E38" s="1" t="s">
        <v>3090</v>
      </c>
      <c r="F38" s="1" t="s">
        <v>12</v>
      </c>
      <c r="G38" s="1" t="s">
        <v>262</v>
      </c>
      <c r="H38" s="1" t="s">
        <v>3091</v>
      </c>
      <c r="I38" s="1" t="s">
        <v>3092</v>
      </c>
      <c r="J38" s="1" t="s">
        <v>3093</v>
      </c>
      <c r="K38" s="1" t="s">
        <v>3094</v>
      </c>
      <c r="L38" s="1" t="s">
        <v>3095</v>
      </c>
      <c r="M38" s="1" t="s">
        <v>3096</v>
      </c>
      <c r="N38" s="1" t="s">
        <v>3097</v>
      </c>
      <c r="O38" s="1" t="s">
        <v>21</v>
      </c>
      <c r="P38" s="1">
        <v>2025</v>
      </c>
      <c r="Q38" s="1">
        <v>18</v>
      </c>
      <c r="R38" s="1">
        <v>5</v>
      </c>
      <c r="S38" s="1">
        <v>999</v>
      </c>
      <c r="T38" s="1">
        <v>1017</v>
      </c>
      <c r="U38" s="1" t="s">
        <v>3098</v>
      </c>
      <c r="V38" s="1" t="str">
        <f>HYPERLINK("http://dx.doi.org/10.1007/s12273-025-1255-5","http://dx.doi.org/10.1007/s12273-025-1255-5")</f>
        <v>http://dx.doi.org/10.1007/s12273-025-1255-5</v>
      </c>
    </row>
    <row r="39" spans="1:22" x14ac:dyDescent="0.4">
      <c r="C39" s="1" t="s">
        <v>3112</v>
      </c>
      <c r="D39" s="1" t="s">
        <v>3113</v>
      </c>
      <c r="E39" s="1" t="s">
        <v>3114</v>
      </c>
      <c r="F39" s="1" t="s">
        <v>12</v>
      </c>
      <c r="G39" s="1" t="s">
        <v>262</v>
      </c>
      <c r="H39" s="1" t="s">
        <v>3115</v>
      </c>
      <c r="I39" s="1" t="s">
        <v>3116</v>
      </c>
      <c r="J39" s="1" t="s">
        <v>3117</v>
      </c>
      <c r="K39" s="1" t="s">
        <v>3118</v>
      </c>
      <c r="L39" s="1" t="s">
        <v>3119</v>
      </c>
      <c r="M39" s="1" t="s">
        <v>3120</v>
      </c>
      <c r="N39" s="1" t="s">
        <v>3121</v>
      </c>
      <c r="O39" s="1" t="s">
        <v>21</v>
      </c>
      <c r="P39" s="1">
        <v>2025</v>
      </c>
      <c r="Q39" s="1">
        <v>18</v>
      </c>
      <c r="R39" s="1">
        <v>5</v>
      </c>
      <c r="S39" s="1">
        <v>1087</v>
      </c>
      <c r="T39" s="1">
        <v>1101</v>
      </c>
      <c r="U39" s="1" t="s">
        <v>3122</v>
      </c>
      <c r="V39" s="1" t="str">
        <f>HYPERLINK("http://dx.doi.org/10.1007/s12273-025-1252-8","http://dx.doi.org/10.1007/s12273-025-1252-8")</f>
        <v>http://dx.doi.org/10.1007/s12273-025-1252-8</v>
      </c>
    </row>
    <row r="40" spans="1:22" x14ac:dyDescent="0.4">
      <c r="C40" s="1" t="s">
        <v>1576</v>
      </c>
      <c r="D40" s="1" t="s">
        <v>1577</v>
      </c>
      <c r="E40" s="1" t="s">
        <v>1578</v>
      </c>
      <c r="F40" s="1" t="s">
        <v>12</v>
      </c>
      <c r="G40" s="1" t="s">
        <v>262</v>
      </c>
      <c r="H40" s="1" t="s">
        <v>1579</v>
      </c>
      <c r="I40" s="1" t="s">
        <v>1580</v>
      </c>
      <c r="J40" s="1" t="s">
        <v>1581</v>
      </c>
      <c r="K40" s="1" t="s">
        <v>1582</v>
      </c>
      <c r="L40" s="1" t="s">
        <v>1583</v>
      </c>
      <c r="M40" s="1" t="s">
        <v>1584</v>
      </c>
      <c r="N40" s="1" t="s">
        <v>1108</v>
      </c>
      <c r="O40" s="1" t="s">
        <v>24</v>
      </c>
      <c r="P40" s="1">
        <v>2025</v>
      </c>
      <c r="Q40" s="1">
        <v>18</v>
      </c>
      <c r="R40" s="1">
        <v>1</v>
      </c>
      <c r="S40" s="1">
        <v>99</v>
      </c>
      <c r="T40" s="1">
        <v>121</v>
      </c>
      <c r="U40" s="1" t="s">
        <v>1585</v>
      </c>
      <c r="V40" s="1" t="str">
        <f>HYPERLINK("http://dx.doi.org/10.1007/s12273-024-1195-5","http://dx.doi.org/10.1007/s12273-024-1195-5")</f>
        <v>http://dx.doi.org/10.1007/s12273-024-1195-5</v>
      </c>
    </row>
    <row r="41" spans="1:22" x14ac:dyDescent="0.4">
      <c r="C41" s="1" t="s">
        <v>3415</v>
      </c>
      <c r="D41" s="1" t="s">
        <v>3416</v>
      </c>
      <c r="E41" s="1" t="s">
        <v>3417</v>
      </c>
      <c r="F41" s="1" t="s">
        <v>12</v>
      </c>
      <c r="G41" s="1" t="s">
        <v>262</v>
      </c>
      <c r="H41" s="1" t="s">
        <v>3418</v>
      </c>
      <c r="I41" s="1" t="s">
        <v>3419</v>
      </c>
      <c r="J41" s="1" t="s">
        <v>3420</v>
      </c>
      <c r="K41" s="1" t="s">
        <v>3421</v>
      </c>
      <c r="L41" s="1" t="s">
        <v>282</v>
      </c>
      <c r="M41" s="1" t="s">
        <v>3422</v>
      </c>
      <c r="N41" s="1" t="s">
        <v>3423</v>
      </c>
      <c r="O41" s="1" t="s">
        <v>26</v>
      </c>
      <c r="P41" s="1">
        <v>2025</v>
      </c>
      <c r="Q41" s="1">
        <v>18</v>
      </c>
      <c r="R41" s="1">
        <v>2</v>
      </c>
      <c r="S41" s="1">
        <v>403</v>
      </c>
      <c r="T41" s="1">
        <v>421</v>
      </c>
      <c r="U41" s="1" t="s">
        <v>3424</v>
      </c>
      <c r="V41" s="1" t="str">
        <f>HYPERLINK("http://dx.doi.org/10.1007/s12273-024-1221-7","http://dx.doi.org/10.1007/s12273-024-1221-7")</f>
        <v>http://dx.doi.org/10.1007/s12273-024-1221-7</v>
      </c>
    </row>
    <row r="42" spans="1:22" x14ac:dyDescent="0.4">
      <c r="C42" s="1" t="s">
        <v>1528</v>
      </c>
      <c r="D42" s="1" t="s">
        <v>1529</v>
      </c>
      <c r="E42" s="1" t="s">
        <v>1530</v>
      </c>
      <c r="F42" s="1" t="s">
        <v>12</v>
      </c>
      <c r="G42" s="1" t="s">
        <v>262</v>
      </c>
      <c r="H42" s="1" t="s">
        <v>1531</v>
      </c>
      <c r="I42" s="1" t="s">
        <v>3449</v>
      </c>
      <c r="J42" s="1" t="s">
        <v>1533</v>
      </c>
      <c r="K42" s="1" t="s">
        <v>1534</v>
      </c>
      <c r="L42" s="1" t="s">
        <v>1535</v>
      </c>
      <c r="M42" s="1" t="s">
        <v>1536</v>
      </c>
      <c r="N42" s="1" t="s">
        <v>1537</v>
      </c>
      <c r="O42" s="1" t="s">
        <v>24</v>
      </c>
      <c r="P42" s="1">
        <v>2025</v>
      </c>
      <c r="Q42" s="1">
        <v>18</v>
      </c>
      <c r="R42" s="1">
        <v>1</v>
      </c>
      <c r="S42" s="1">
        <v>33</v>
      </c>
      <c r="T42" s="1">
        <v>46</v>
      </c>
      <c r="U42" s="1" t="s">
        <v>1538</v>
      </c>
      <c r="V42" s="1" t="str">
        <f>HYPERLINK("http://dx.doi.org/10.1007/s12273-024-1207-5","http://dx.doi.org/10.1007/s12273-024-1207-5")</f>
        <v>http://dx.doi.org/10.1007/s12273-024-1207-5</v>
      </c>
    </row>
    <row r="44" spans="1:22" ht="13.7" x14ac:dyDescent="0.5">
      <c r="A44" s="4" t="s">
        <v>83</v>
      </c>
      <c r="B44" s="10" t="s">
        <v>84</v>
      </c>
      <c r="E44" s="4"/>
      <c r="F44" s="10"/>
    </row>
    <row r="45" spans="1:22" x14ac:dyDescent="0.4">
      <c r="C45" s="1" t="s">
        <v>1868</v>
      </c>
      <c r="D45" s="1" t="s">
        <v>1869</v>
      </c>
      <c r="E45" s="1" t="s">
        <v>1870</v>
      </c>
      <c r="F45" s="1" t="s">
        <v>12</v>
      </c>
      <c r="G45" s="1" t="s">
        <v>262</v>
      </c>
      <c r="H45" s="1" t="s">
        <v>1871</v>
      </c>
      <c r="I45" s="1" t="s">
        <v>1872</v>
      </c>
      <c r="J45" s="1" t="s">
        <v>1873</v>
      </c>
      <c r="K45" s="1" t="s">
        <v>1874</v>
      </c>
      <c r="L45" s="1" t="s">
        <v>1875</v>
      </c>
      <c r="M45" s="1" t="s">
        <v>1876</v>
      </c>
      <c r="N45" s="1" t="s">
        <v>1877</v>
      </c>
      <c r="O45" s="1" t="s">
        <v>27</v>
      </c>
      <c r="P45" s="1">
        <v>2025</v>
      </c>
      <c r="Q45" s="1">
        <v>18</v>
      </c>
      <c r="R45" s="1">
        <v>12</v>
      </c>
      <c r="S45" s="1">
        <v>3201</v>
      </c>
      <c r="T45" s="1">
        <v>3224</v>
      </c>
      <c r="U45" s="1" t="s">
        <v>1878</v>
      </c>
      <c r="V45" s="1" t="str">
        <f>HYPERLINK("http://dx.doi.org/10.1007/s12273-025-1364-1","http://dx.doi.org/10.1007/s12273-025-1364-1")</f>
        <v>http://dx.doi.org/10.1007/s12273-025-1364-1</v>
      </c>
    </row>
    <row r="46" spans="1:22" x14ac:dyDescent="0.4">
      <c r="C46" s="1" t="s">
        <v>2874</v>
      </c>
      <c r="D46" s="1" t="s">
        <v>2875</v>
      </c>
      <c r="E46" s="1" t="s">
        <v>2876</v>
      </c>
      <c r="F46" s="1" t="s">
        <v>12</v>
      </c>
      <c r="G46" s="1" t="s">
        <v>262</v>
      </c>
      <c r="H46" s="1" t="s">
        <v>2877</v>
      </c>
      <c r="I46" s="1" t="s">
        <v>2878</v>
      </c>
      <c r="J46" s="1" t="s">
        <v>2879</v>
      </c>
      <c r="K46" s="1" t="s">
        <v>2880</v>
      </c>
      <c r="L46" s="1" t="s">
        <v>392</v>
      </c>
      <c r="M46" s="1" t="s">
        <v>2881</v>
      </c>
      <c r="N46" s="1" t="s">
        <v>2882</v>
      </c>
      <c r="O46" s="1" t="s">
        <v>20</v>
      </c>
      <c r="P46" s="1">
        <v>2025</v>
      </c>
      <c r="Q46" s="1">
        <v>18</v>
      </c>
      <c r="R46" s="1">
        <v>7</v>
      </c>
      <c r="S46" s="1">
        <v>1611</v>
      </c>
      <c r="T46" s="1">
        <v>1639</v>
      </c>
      <c r="U46" s="1" t="s">
        <v>2883</v>
      </c>
      <c r="V46" s="1" t="str">
        <f>HYPERLINK("http://dx.doi.org/10.1007/s12273-025-1277-z","http://dx.doi.org/10.1007/s12273-025-1277-z")</f>
        <v>http://dx.doi.org/10.1007/s12273-025-1277-z</v>
      </c>
    </row>
    <row r="47" spans="1:22" x14ac:dyDescent="0.4">
      <c r="C47" s="1" t="s">
        <v>3583</v>
      </c>
    </row>
    <row r="48" spans="1:22" ht="13.7" x14ac:dyDescent="0.5">
      <c r="A48" s="4" t="s">
        <v>85</v>
      </c>
      <c r="B48" s="10" t="s">
        <v>86</v>
      </c>
      <c r="E48" s="4"/>
      <c r="F48" s="10"/>
    </row>
    <row r="49" spans="1:22" x14ac:dyDescent="0.4">
      <c r="C49" s="1" t="s">
        <v>1927</v>
      </c>
      <c r="D49" s="1" t="s">
        <v>1928</v>
      </c>
      <c r="E49" s="1" t="s">
        <v>1929</v>
      </c>
      <c r="F49" s="1" t="s">
        <v>12</v>
      </c>
      <c r="G49" s="1" t="s">
        <v>262</v>
      </c>
      <c r="H49" s="1" t="s">
        <v>1930</v>
      </c>
      <c r="I49" s="1" t="s">
        <v>1931</v>
      </c>
      <c r="J49" s="1" t="s">
        <v>1932</v>
      </c>
      <c r="K49" s="1" t="s">
        <v>1933</v>
      </c>
      <c r="L49" s="1" t="s">
        <v>1934</v>
      </c>
      <c r="M49" s="1" t="s">
        <v>1935</v>
      </c>
      <c r="N49" s="1" t="s">
        <v>1936</v>
      </c>
      <c r="O49" s="1" t="s">
        <v>14</v>
      </c>
      <c r="P49" s="1">
        <v>2025</v>
      </c>
      <c r="Q49" s="1">
        <v>18</v>
      </c>
      <c r="R49" s="1">
        <v>11</v>
      </c>
      <c r="S49" s="1">
        <v>3045</v>
      </c>
      <c r="T49" s="1">
        <v>3067</v>
      </c>
      <c r="U49" s="1" t="s">
        <v>1937</v>
      </c>
      <c r="V49" s="1" t="str">
        <f>HYPERLINK("http://dx.doi.org/10.1007/s12273-025-1373-0","http://dx.doi.org/10.1007/s12273-025-1373-0")</f>
        <v>http://dx.doi.org/10.1007/s12273-025-1373-0</v>
      </c>
    </row>
    <row r="50" spans="1:22" x14ac:dyDescent="0.4">
      <c r="C50" s="1" t="s">
        <v>1808</v>
      </c>
      <c r="D50" s="1" t="s">
        <v>1809</v>
      </c>
      <c r="E50" s="1" t="s">
        <v>1810</v>
      </c>
      <c r="F50" s="1" t="s">
        <v>12</v>
      </c>
      <c r="G50" s="1" t="s">
        <v>262</v>
      </c>
      <c r="H50" s="1" t="s">
        <v>1811</v>
      </c>
      <c r="I50" s="1" t="s">
        <v>1812</v>
      </c>
      <c r="J50" s="1" t="s">
        <v>1813</v>
      </c>
      <c r="K50" s="1" t="s">
        <v>1814</v>
      </c>
      <c r="L50" s="1" t="s">
        <v>1815</v>
      </c>
      <c r="M50" s="1" t="s">
        <v>1816</v>
      </c>
      <c r="N50" s="1" t="s">
        <v>1817</v>
      </c>
      <c r="O50" s="1" t="s">
        <v>27</v>
      </c>
      <c r="P50" s="1">
        <v>2025</v>
      </c>
      <c r="Q50" s="1">
        <v>18</v>
      </c>
      <c r="R50" s="1">
        <v>12</v>
      </c>
      <c r="S50" s="1">
        <v>3317</v>
      </c>
      <c r="T50" s="1">
        <v>3335</v>
      </c>
      <c r="U50" s="1" t="s">
        <v>1818</v>
      </c>
      <c r="V50" s="1" t="str">
        <f>HYPERLINK("http://dx.doi.org/10.1007/s12273-025-1367-y","http://dx.doi.org/10.1007/s12273-025-1367-y")</f>
        <v>http://dx.doi.org/10.1007/s12273-025-1367-y</v>
      </c>
    </row>
    <row r="51" spans="1:22" x14ac:dyDescent="0.4">
      <c r="C51" s="1" t="s">
        <v>714</v>
      </c>
      <c r="D51" s="1" t="s">
        <v>715</v>
      </c>
      <c r="E51" s="1" t="s">
        <v>716</v>
      </c>
      <c r="F51" s="1" t="s">
        <v>12</v>
      </c>
      <c r="G51" s="1" t="s">
        <v>262</v>
      </c>
      <c r="H51" s="1" t="s">
        <v>717</v>
      </c>
      <c r="I51" s="1" t="s">
        <v>718</v>
      </c>
      <c r="J51" s="1" t="s">
        <v>719</v>
      </c>
      <c r="K51" s="1" t="s">
        <v>720</v>
      </c>
      <c r="L51" s="1" t="s">
        <v>11</v>
      </c>
      <c r="M51" s="1" t="s">
        <v>721</v>
      </c>
      <c r="N51" s="1" t="s">
        <v>722</v>
      </c>
      <c r="O51" s="1" t="s">
        <v>20</v>
      </c>
      <c r="P51" s="1">
        <v>2024</v>
      </c>
      <c r="Q51" s="1">
        <v>17</v>
      </c>
      <c r="R51" s="1">
        <v>7</v>
      </c>
      <c r="S51" s="1">
        <v>1065</v>
      </c>
      <c r="T51" s="1">
        <v>1083</v>
      </c>
      <c r="U51" s="1" t="s">
        <v>723</v>
      </c>
      <c r="V51" s="1" t="str">
        <f>HYPERLINK("http://dx.doi.org/10.1007/s12273-024-1121-x","http://dx.doi.org/10.1007/s12273-024-1121-x")</f>
        <v>http://dx.doi.org/10.1007/s12273-024-1121-x</v>
      </c>
    </row>
    <row r="52" spans="1:22" x14ac:dyDescent="0.4">
      <c r="C52" s="1" t="s">
        <v>703</v>
      </c>
      <c r="D52" s="1" t="s">
        <v>704</v>
      </c>
      <c r="E52" s="1" t="s">
        <v>705</v>
      </c>
      <c r="F52" s="1" t="s">
        <v>12</v>
      </c>
      <c r="G52" s="1" t="s">
        <v>262</v>
      </c>
      <c r="H52" s="1" t="s">
        <v>706</v>
      </c>
      <c r="I52" s="1" t="s">
        <v>707</v>
      </c>
      <c r="J52" s="1" t="s">
        <v>708</v>
      </c>
      <c r="K52" s="1" t="s">
        <v>709</v>
      </c>
      <c r="L52" s="1" t="s">
        <v>292</v>
      </c>
      <c r="M52" s="1" t="s">
        <v>710</v>
      </c>
      <c r="N52" s="1" t="s">
        <v>711</v>
      </c>
      <c r="O52" s="1" t="s">
        <v>20</v>
      </c>
      <c r="P52" s="1">
        <v>2024</v>
      </c>
      <c r="Q52" s="1">
        <v>17</v>
      </c>
      <c r="R52" s="1">
        <v>7</v>
      </c>
      <c r="S52" s="1">
        <v>1043</v>
      </c>
      <c r="T52" s="1">
        <v>1063</v>
      </c>
      <c r="U52" s="1" t="s">
        <v>712</v>
      </c>
      <c r="V52" s="1" t="str">
        <f>HYPERLINK("http://dx.doi.org/10.1007/s12273-024-1127-4","http://dx.doi.org/10.1007/s12273-024-1127-4")</f>
        <v>http://dx.doi.org/10.1007/s12273-024-1127-4</v>
      </c>
    </row>
    <row r="53" spans="1:22" x14ac:dyDescent="0.4">
      <c r="C53" s="1" t="s">
        <v>1669</v>
      </c>
      <c r="D53" s="1" t="s">
        <v>1670</v>
      </c>
      <c r="E53" s="1" t="s">
        <v>1671</v>
      </c>
      <c r="F53" s="1" t="s">
        <v>12</v>
      </c>
      <c r="G53" s="1" t="s">
        <v>1760</v>
      </c>
      <c r="H53" s="1" t="s">
        <v>1672</v>
      </c>
      <c r="I53" s="1" t="s">
        <v>1673</v>
      </c>
      <c r="J53" s="1" t="s">
        <v>1674</v>
      </c>
      <c r="K53" s="1" t="s">
        <v>1675</v>
      </c>
      <c r="L53" s="1" t="s">
        <v>1676</v>
      </c>
      <c r="M53" s="1" t="s">
        <v>1677</v>
      </c>
      <c r="N53" s="1" t="s">
        <v>1678</v>
      </c>
      <c r="O53" s="1" t="s">
        <v>1654</v>
      </c>
      <c r="P53" s="1">
        <v>2025</v>
      </c>
      <c r="Q53" s="1">
        <v>18</v>
      </c>
      <c r="R53" s="1">
        <v>2</v>
      </c>
      <c r="S53" s="1">
        <v>295</v>
      </c>
      <c r="T53" s="1">
        <v>320</v>
      </c>
      <c r="U53" s="1" t="s">
        <v>1679</v>
      </c>
      <c r="V53" s="1" t="str">
        <f>HYPERLINK("http://dx.doi.org/10.1007/s12273-024-1208-4","http://dx.doi.org/10.1007/s12273-024-1208-4")</f>
        <v>http://dx.doi.org/10.1007/s12273-024-1208-4</v>
      </c>
    </row>
    <row r="54" spans="1:22" x14ac:dyDescent="0.4">
      <c r="C54" s="1" t="s">
        <v>2032</v>
      </c>
      <c r="D54" s="1" t="s">
        <v>2033</v>
      </c>
      <c r="E54" s="1" t="s">
        <v>2034</v>
      </c>
      <c r="F54" s="1" t="s">
        <v>12</v>
      </c>
      <c r="G54" s="1" t="s">
        <v>262</v>
      </c>
      <c r="H54" s="1" t="s">
        <v>2035</v>
      </c>
      <c r="I54" s="1" t="s">
        <v>2036</v>
      </c>
      <c r="J54" s="1" t="s">
        <v>2037</v>
      </c>
      <c r="K54" s="1" t="s">
        <v>2038</v>
      </c>
      <c r="L54" s="1" t="s">
        <v>2039</v>
      </c>
      <c r="M54" s="1" t="s">
        <v>2040</v>
      </c>
      <c r="N54" s="1" t="s">
        <v>2041</v>
      </c>
      <c r="O54" s="1" t="s">
        <v>15</v>
      </c>
      <c r="P54" s="1">
        <v>2025</v>
      </c>
      <c r="Q54" s="1">
        <v>18</v>
      </c>
      <c r="R54" s="1">
        <v>10</v>
      </c>
      <c r="S54" s="1">
        <v>2825</v>
      </c>
      <c r="T54" s="1">
        <v>2847</v>
      </c>
      <c r="U54" s="1" t="s">
        <v>2042</v>
      </c>
      <c r="V54" s="1" t="str">
        <f>HYPERLINK("http://dx.doi.org/10.1007/s12273-025-1341-8","http://dx.doi.org/10.1007/s12273-025-1341-8")</f>
        <v>http://dx.doi.org/10.1007/s12273-025-1341-8</v>
      </c>
    </row>
    <row r="55" spans="1:22" ht="13.7" x14ac:dyDescent="0.4">
      <c r="A55" s="2"/>
      <c r="B55" s="2"/>
      <c r="C55" s="1" t="s">
        <v>305</v>
      </c>
      <c r="D55" s="1" t="s">
        <v>17</v>
      </c>
      <c r="E55" s="1" t="s">
        <v>2079</v>
      </c>
      <c r="F55" s="1" t="s">
        <v>12</v>
      </c>
      <c r="G55" s="1" t="s">
        <v>262</v>
      </c>
      <c r="H55" s="1" t="s">
        <v>2080</v>
      </c>
      <c r="I55" s="1" t="s">
        <v>2081</v>
      </c>
      <c r="J55" s="1" t="s">
        <v>2082</v>
      </c>
      <c r="K55" s="1" t="s">
        <v>2083</v>
      </c>
      <c r="L55" s="1" t="s">
        <v>2084</v>
      </c>
      <c r="M55" s="1" t="s">
        <v>306</v>
      </c>
      <c r="N55" s="1" t="s">
        <v>279</v>
      </c>
      <c r="O55" s="1" t="s">
        <v>14</v>
      </c>
      <c r="P55" s="1">
        <v>2025</v>
      </c>
      <c r="Q55" s="1">
        <v>18</v>
      </c>
      <c r="R55" s="1">
        <v>11</v>
      </c>
      <c r="S55" s="1">
        <v>3069</v>
      </c>
      <c r="T55" s="1">
        <v>3095</v>
      </c>
      <c r="U55" s="1" t="s">
        <v>2085</v>
      </c>
      <c r="V55" s="1" t="str">
        <f>HYPERLINK("http://dx.doi.org/10.1007/s12273-025-1346-3","http://dx.doi.org/10.1007/s12273-025-1346-3")</f>
        <v>http://dx.doi.org/10.1007/s12273-025-1346-3</v>
      </c>
    </row>
    <row r="56" spans="1:22" x14ac:dyDescent="0.4">
      <c r="C56" s="1" t="s">
        <v>2145</v>
      </c>
      <c r="D56" s="1" t="s">
        <v>2146</v>
      </c>
      <c r="E56" s="1" t="s">
        <v>2147</v>
      </c>
      <c r="F56" s="1" t="s">
        <v>12</v>
      </c>
      <c r="G56" s="1" t="s">
        <v>262</v>
      </c>
      <c r="H56" s="1" t="s">
        <v>2148</v>
      </c>
      <c r="I56" s="1" t="s">
        <v>2149</v>
      </c>
      <c r="J56" s="1" t="s">
        <v>2150</v>
      </c>
      <c r="K56" s="1" t="s">
        <v>2151</v>
      </c>
      <c r="L56" s="1" t="s">
        <v>2152</v>
      </c>
      <c r="M56" s="1" t="s">
        <v>2153</v>
      </c>
      <c r="N56" s="1" t="s">
        <v>2154</v>
      </c>
      <c r="O56" s="1" t="s">
        <v>14</v>
      </c>
      <c r="P56" s="1">
        <v>2025</v>
      </c>
      <c r="Q56" s="1">
        <v>18</v>
      </c>
      <c r="R56" s="1">
        <v>11</v>
      </c>
      <c r="S56" s="1">
        <v>2945</v>
      </c>
      <c r="T56" s="1">
        <v>2962</v>
      </c>
      <c r="U56" s="1" t="s">
        <v>2155</v>
      </c>
      <c r="V56" s="1" t="str">
        <f>HYPERLINK("http://dx.doi.org/10.1007/s12273-025-1348-1","http://dx.doi.org/10.1007/s12273-025-1348-1")</f>
        <v>http://dx.doi.org/10.1007/s12273-025-1348-1</v>
      </c>
    </row>
    <row r="57" spans="1:22" x14ac:dyDescent="0.4">
      <c r="C57" s="1" t="s">
        <v>2240</v>
      </c>
      <c r="D57" s="1" t="s">
        <v>2241</v>
      </c>
      <c r="E57" s="1" t="s">
        <v>2242</v>
      </c>
      <c r="F57" s="1" t="s">
        <v>12</v>
      </c>
      <c r="G57" s="1" t="s">
        <v>262</v>
      </c>
      <c r="H57" s="1" t="s">
        <v>2243</v>
      </c>
      <c r="I57" s="1" t="s">
        <v>2244</v>
      </c>
      <c r="J57" s="1" t="s">
        <v>2245</v>
      </c>
      <c r="K57" s="1" t="s">
        <v>2246</v>
      </c>
      <c r="L57" s="1" t="s">
        <v>2247</v>
      </c>
      <c r="M57" s="1" t="s">
        <v>2248</v>
      </c>
      <c r="N57" s="1" t="s">
        <v>2249</v>
      </c>
      <c r="O57" s="1" t="s">
        <v>16</v>
      </c>
      <c r="P57" s="1">
        <v>2025</v>
      </c>
      <c r="Q57" s="1">
        <v>18</v>
      </c>
      <c r="R57" s="1">
        <v>9</v>
      </c>
      <c r="S57" s="1">
        <v>2323</v>
      </c>
      <c r="T57" s="1">
        <v>2344</v>
      </c>
      <c r="U57" s="1" t="s">
        <v>2250</v>
      </c>
      <c r="V57" s="1" t="str">
        <f>HYPERLINK("http://dx.doi.org/10.1007/s12273-025-1322-y","http://dx.doi.org/10.1007/s12273-025-1322-y")</f>
        <v>http://dx.doi.org/10.1007/s12273-025-1322-y</v>
      </c>
    </row>
    <row r="58" spans="1:22" x14ac:dyDescent="0.4">
      <c r="C58" s="1" t="s">
        <v>2554</v>
      </c>
      <c r="D58" s="1" t="s">
        <v>2555</v>
      </c>
      <c r="E58" s="1" t="s">
        <v>2556</v>
      </c>
      <c r="F58" s="1" t="s">
        <v>12</v>
      </c>
      <c r="G58" s="1" t="s">
        <v>262</v>
      </c>
      <c r="H58" s="1" t="s">
        <v>2557</v>
      </c>
      <c r="I58" s="1" t="s">
        <v>2558</v>
      </c>
      <c r="J58" s="1" t="s">
        <v>2559</v>
      </c>
      <c r="K58" s="1" t="s">
        <v>2560</v>
      </c>
      <c r="L58" s="1" t="s">
        <v>2561</v>
      </c>
      <c r="M58" s="1" t="s">
        <v>2562</v>
      </c>
      <c r="N58" s="1" t="s">
        <v>2563</v>
      </c>
      <c r="O58" s="1" t="s">
        <v>16</v>
      </c>
      <c r="P58" s="1">
        <v>2025</v>
      </c>
      <c r="Q58" s="1">
        <v>18</v>
      </c>
      <c r="R58" s="1">
        <v>9</v>
      </c>
      <c r="S58" s="1">
        <v>2475</v>
      </c>
      <c r="T58" s="1">
        <v>2490</v>
      </c>
      <c r="U58" s="1" t="s">
        <v>2564</v>
      </c>
      <c r="V58" s="1" t="str">
        <f>HYPERLINK("http://dx.doi.org/10.1007/s12273-025-1312-0","http://dx.doi.org/10.1007/s12273-025-1312-0")</f>
        <v>http://dx.doi.org/10.1007/s12273-025-1312-0</v>
      </c>
    </row>
    <row r="59" spans="1:22" x14ac:dyDescent="0.4">
      <c r="C59" s="1" t="s">
        <v>2952</v>
      </c>
      <c r="D59" s="1" t="s">
        <v>2953</v>
      </c>
      <c r="E59" s="1" t="s">
        <v>2954</v>
      </c>
      <c r="F59" s="1" t="s">
        <v>12</v>
      </c>
      <c r="G59" s="1" t="s">
        <v>262</v>
      </c>
      <c r="H59" s="1" t="s">
        <v>2955</v>
      </c>
      <c r="I59" s="1" t="s">
        <v>2956</v>
      </c>
      <c r="J59" s="1" t="s">
        <v>2957</v>
      </c>
      <c r="K59" s="1" t="s">
        <v>2958</v>
      </c>
      <c r="L59" s="1" t="s">
        <v>2959</v>
      </c>
      <c r="M59" s="1" t="s">
        <v>2960</v>
      </c>
      <c r="N59" s="1" t="s">
        <v>2961</v>
      </c>
      <c r="O59" s="1" t="s">
        <v>20</v>
      </c>
      <c r="P59" s="1">
        <v>2025</v>
      </c>
      <c r="Q59" s="1">
        <v>18</v>
      </c>
      <c r="R59" s="1">
        <v>7</v>
      </c>
      <c r="S59" s="1">
        <v>1857</v>
      </c>
      <c r="T59" s="1">
        <v>1876</v>
      </c>
      <c r="U59" s="1" t="s">
        <v>2962</v>
      </c>
      <c r="V59" s="1" t="str">
        <f>HYPERLINK("http://dx.doi.org/10.1007/s12273-025-1275-1","http://dx.doi.org/10.1007/s12273-025-1275-1")</f>
        <v>http://dx.doi.org/10.1007/s12273-025-1275-1</v>
      </c>
    </row>
    <row r="60" spans="1:22" x14ac:dyDescent="0.4">
      <c r="C60" s="1" t="s">
        <v>3100</v>
      </c>
      <c r="D60" s="1" t="s">
        <v>3101</v>
      </c>
      <c r="E60" s="1" t="s">
        <v>3102</v>
      </c>
      <c r="F60" s="1" t="s">
        <v>12</v>
      </c>
      <c r="G60" s="1" t="s">
        <v>262</v>
      </c>
      <c r="H60" s="1" t="s">
        <v>3103</v>
      </c>
      <c r="I60" s="1" t="s">
        <v>3104</v>
      </c>
      <c r="J60" s="1" t="s">
        <v>3105</v>
      </c>
      <c r="K60" s="1" t="s">
        <v>3106</v>
      </c>
      <c r="L60" s="1" t="s">
        <v>3107</v>
      </c>
      <c r="M60" s="1" t="s">
        <v>3108</v>
      </c>
      <c r="N60" s="1" t="s">
        <v>3109</v>
      </c>
      <c r="O60" s="1" t="s">
        <v>21</v>
      </c>
      <c r="P60" s="1">
        <v>2025</v>
      </c>
      <c r="Q60" s="1">
        <v>18</v>
      </c>
      <c r="R60" s="1">
        <v>5</v>
      </c>
      <c r="S60" s="1">
        <v>1103</v>
      </c>
      <c r="T60" s="1">
        <v>1119</v>
      </c>
      <c r="U60" s="1" t="s">
        <v>3110</v>
      </c>
      <c r="V60" s="1" t="str">
        <f>HYPERLINK("http://dx.doi.org/10.1007/s12273-025-1257-3","http://dx.doi.org/10.1007/s12273-025-1257-3")</f>
        <v>http://dx.doi.org/10.1007/s12273-025-1257-3</v>
      </c>
    </row>
    <row r="61" spans="1:22" x14ac:dyDescent="0.4">
      <c r="C61" s="1" t="s">
        <v>3371</v>
      </c>
      <c r="D61" s="1" t="s">
        <v>3372</v>
      </c>
      <c r="E61" s="1" t="s">
        <v>3373</v>
      </c>
      <c r="F61" s="1" t="s">
        <v>12</v>
      </c>
      <c r="G61" s="1" t="s">
        <v>262</v>
      </c>
      <c r="H61" s="1" t="s">
        <v>3374</v>
      </c>
      <c r="I61" s="1" t="s">
        <v>3375</v>
      </c>
      <c r="J61" s="1" t="s">
        <v>3376</v>
      </c>
      <c r="K61" s="1" t="s">
        <v>3377</v>
      </c>
      <c r="L61" s="1" t="s">
        <v>281</v>
      </c>
      <c r="M61" s="1" t="s">
        <v>3378</v>
      </c>
      <c r="N61" s="1" t="s">
        <v>722</v>
      </c>
      <c r="O61" s="1" t="s">
        <v>26</v>
      </c>
      <c r="P61" s="1">
        <v>2025</v>
      </c>
      <c r="Q61" s="1">
        <v>18</v>
      </c>
      <c r="R61" s="1">
        <v>2</v>
      </c>
      <c r="S61" s="1">
        <v>423</v>
      </c>
      <c r="T61" s="1">
        <v>447</v>
      </c>
      <c r="U61" s="1" t="s">
        <v>3379</v>
      </c>
      <c r="V61" s="1" t="str">
        <f>HYPERLINK("http://dx.doi.org/10.1007/s12273-024-1191-9","http://dx.doi.org/10.1007/s12273-024-1191-9")</f>
        <v>http://dx.doi.org/10.1007/s12273-024-1191-9</v>
      </c>
    </row>
    <row r="62" spans="1:22" x14ac:dyDescent="0.4">
      <c r="C62" s="1" t="s">
        <v>1669</v>
      </c>
      <c r="D62" s="1" t="s">
        <v>1670</v>
      </c>
      <c r="E62" s="1" t="s">
        <v>1671</v>
      </c>
      <c r="F62" s="1" t="s">
        <v>12</v>
      </c>
      <c r="G62" s="1" t="s">
        <v>262</v>
      </c>
      <c r="H62" s="1" t="s">
        <v>1672</v>
      </c>
      <c r="I62" s="1" t="s">
        <v>1673</v>
      </c>
      <c r="J62" s="1" t="s">
        <v>1674</v>
      </c>
      <c r="K62" s="1" t="s">
        <v>1675</v>
      </c>
      <c r="L62" s="1" t="s">
        <v>1676</v>
      </c>
      <c r="M62" s="1" t="s">
        <v>1677</v>
      </c>
      <c r="N62" s="1" t="s">
        <v>1678</v>
      </c>
      <c r="O62" s="1" t="s">
        <v>26</v>
      </c>
      <c r="P62" s="1">
        <v>2025</v>
      </c>
      <c r="Q62" s="1">
        <v>18</v>
      </c>
      <c r="R62" s="1">
        <v>2</v>
      </c>
      <c r="S62" s="1">
        <v>295</v>
      </c>
      <c r="T62" s="1">
        <v>320</v>
      </c>
      <c r="U62" s="1" t="s">
        <v>1679</v>
      </c>
      <c r="V62" s="1" t="str">
        <f>HYPERLINK("http://dx.doi.org/10.1007/s12273-024-1208-4","http://dx.doi.org/10.1007/s12273-024-1208-4")</f>
        <v>http://dx.doi.org/10.1007/s12273-024-1208-4</v>
      </c>
    </row>
    <row r="64" spans="1:22" ht="13.7" x14ac:dyDescent="0.4">
      <c r="A64" s="2" t="s">
        <v>87</v>
      </c>
      <c r="B64" s="10" t="s">
        <v>88</v>
      </c>
      <c r="E64" s="2"/>
      <c r="F64" s="10"/>
    </row>
    <row r="65" spans="1:22" ht="13.7" x14ac:dyDescent="0.4">
      <c r="A65" s="2"/>
      <c r="B65" s="2"/>
      <c r="C65" s="1" t="s">
        <v>2122</v>
      </c>
      <c r="D65" s="1" t="s">
        <v>2123</v>
      </c>
      <c r="E65" s="1" t="s">
        <v>2124</v>
      </c>
      <c r="F65" s="1" t="s">
        <v>12</v>
      </c>
      <c r="G65" s="1" t="s">
        <v>262</v>
      </c>
      <c r="H65" s="1" t="s">
        <v>2125</v>
      </c>
      <c r="I65" s="1" t="s">
        <v>2126</v>
      </c>
      <c r="J65" s="1" t="s">
        <v>2127</v>
      </c>
      <c r="K65" s="1" t="s">
        <v>2128</v>
      </c>
      <c r="L65" s="1" t="s">
        <v>2129</v>
      </c>
      <c r="M65" s="1" t="s">
        <v>2130</v>
      </c>
      <c r="N65" s="1" t="s">
        <v>1631</v>
      </c>
      <c r="O65" s="1" t="s">
        <v>15</v>
      </c>
      <c r="P65" s="1">
        <v>2025</v>
      </c>
      <c r="Q65" s="1">
        <v>18</v>
      </c>
      <c r="R65" s="1">
        <v>10</v>
      </c>
      <c r="S65" s="1">
        <v>2657</v>
      </c>
      <c r="T65" s="1">
        <v>2676</v>
      </c>
      <c r="U65" s="1" t="s">
        <v>2131</v>
      </c>
      <c r="V65" s="1" t="str">
        <f>HYPERLINK("http://dx.doi.org/10.1007/s12273-025-1326-7","http://dx.doi.org/10.1007/s12273-025-1326-7")</f>
        <v>http://dx.doi.org/10.1007/s12273-025-1326-7</v>
      </c>
    </row>
    <row r="66" spans="1:22" x14ac:dyDescent="0.4">
      <c r="C66" s="1" t="s">
        <v>625</v>
      </c>
      <c r="D66" s="1" t="s">
        <v>626</v>
      </c>
      <c r="E66" s="1" t="s">
        <v>627</v>
      </c>
      <c r="F66" s="1" t="s">
        <v>12</v>
      </c>
      <c r="G66" s="1" t="s">
        <v>262</v>
      </c>
      <c r="H66" s="1" t="s">
        <v>628</v>
      </c>
      <c r="I66" s="1" t="s">
        <v>629</v>
      </c>
      <c r="J66" s="1" t="s">
        <v>630</v>
      </c>
      <c r="K66" s="1" t="s">
        <v>631</v>
      </c>
      <c r="L66" s="1" t="s">
        <v>632</v>
      </c>
      <c r="M66" s="1" t="s">
        <v>633</v>
      </c>
      <c r="N66" s="1" t="s">
        <v>634</v>
      </c>
      <c r="O66" s="1" t="s">
        <v>22</v>
      </c>
      <c r="P66" s="1">
        <v>2024</v>
      </c>
      <c r="Q66" s="1">
        <v>17</v>
      </c>
      <c r="R66" s="1">
        <v>6</v>
      </c>
      <c r="S66" s="1">
        <v>933</v>
      </c>
      <c r="T66" s="1">
        <v>954</v>
      </c>
      <c r="U66" s="1" t="s">
        <v>635</v>
      </c>
      <c r="V66" s="1" t="str">
        <f>HYPERLINK("http://dx.doi.org/10.1007/s12273-024-1122-9","http://dx.doi.org/10.1007/s12273-024-1122-9")</f>
        <v>http://dx.doi.org/10.1007/s12273-024-1122-9</v>
      </c>
    </row>
    <row r="67" spans="1:22" x14ac:dyDescent="0.4">
      <c r="C67" s="1" t="s">
        <v>2336</v>
      </c>
      <c r="D67" s="1" t="s">
        <v>2337</v>
      </c>
      <c r="E67" s="1" t="s">
        <v>2338</v>
      </c>
      <c r="F67" s="1" t="s">
        <v>12</v>
      </c>
      <c r="G67" s="1" t="s">
        <v>262</v>
      </c>
      <c r="H67" s="1" t="s">
        <v>2339</v>
      </c>
      <c r="I67" s="1" t="s">
        <v>2340</v>
      </c>
      <c r="J67" s="1" t="s">
        <v>2341</v>
      </c>
      <c r="K67" s="1" t="s">
        <v>2342</v>
      </c>
      <c r="L67" s="1" t="s">
        <v>2343</v>
      </c>
      <c r="M67" s="1" t="s">
        <v>2344</v>
      </c>
      <c r="N67" s="1" t="s">
        <v>2345</v>
      </c>
      <c r="O67" s="1" t="s">
        <v>16</v>
      </c>
      <c r="P67" s="1">
        <v>2025</v>
      </c>
      <c r="Q67" s="1">
        <v>18</v>
      </c>
      <c r="R67" s="1">
        <v>9</v>
      </c>
      <c r="S67" s="1">
        <v>2417</v>
      </c>
      <c r="T67" s="1">
        <v>2433</v>
      </c>
      <c r="U67" s="1" t="s">
        <v>2346</v>
      </c>
      <c r="V67" s="1" t="str">
        <f>HYPERLINK("http://dx.doi.org/10.1007/s12273-025-1310-2","http://dx.doi.org/10.1007/s12273-025-1310-2")</f>
        <v>http://dx.doi.org/10.1007/s12273-025-1310-2</v>
      </c>
    </row>
    <row r="68" spans="1:22" x14ac:dyDescent="0.4">
      <c r="C68" s="1" t="s">
        <v>1015</v>
      </c>
      <c r="D68" s="1" t="s">
        <v>1016</v>
      </c>
      <c r="E68" s="1" t="s">
        <v>1017</v>
      </c>
      <c r="F68" s="1" t="s">
        <v>12</v>
      </c>
      <c r="G68" s="1" t="s">
        <v>262</v>
      </c>
      <c r="H68" s="1" t="s">
        <v>1018</v>
      </c>
      <c r="I68" s="1" t="s">
        <v>1019</v>
      </c>
      <c r="J68" s="1" t="s">
        <v>1020</v>
      </c>
      <c r="K68" s="1" t="s">
        <v>1021</v>
      </c>
      <c r="L68" s="1" t="s">
        <v>1022</v>
      </c>
      <c r="M68" s="1" t="s">
        <v>1023</v>
      </c>
      <c r="N68" s="1" t="s">
        <v>1024</v>
      </c>
      <c r="O68" s="1" t="s">
        <v>16</v>
      </c>
      <c r="P68" s="1">
        <v>2024</v>
      </c>
      <c r="Q68" s="1">
        <v>17</v>
      </c>
      <c r="R68" s="1">
        <v>9</v>
      </c>
      <c r="S68" s="1">
        <v>1579</v>
      </c>
      <c r="T68" s="1">
        <v>1600</v>
      </c>
      <c r="U68" s="1" t="s">
        <v>1025</v>
      </c>
      <c r="V68" s="1" t="str">
        <f>HYPERLINK("http://dx.doi.org/10.1007/s12273-024-1148-z","http://dx.doi.org/10.1007/s12273-024-1148-z")</f>
        <v>http://dx.doi.org/10.1007/s12273-024-1148-z</v>
      </c>
    </row>
    <row r="69" spans="1:22" x14ac:dyDescent="0.4">
      <c r="C69" s="1" t="s">
        <v>2793</v>
      </c>
      <c r="D69" s="1" t="s">
        <v>2794</v>
      </c>
      <c r="E69" s="1" t="s">
        <v>2795</v>
      </c>
      <c r="F69" s="1" t="s">
        <v>12</v>
      </c>
      <c r="G69" s="1" t="s">
        <v>262</v>
      </c>
      <c r="H69" s="1" t="s">
        <v>2796</v>
      </c>
      <c r="I69" s="1" t="s">
        <v>2797</v>
      </c>
      <c r="J69" s="1" t="s">
        <v>2798</v>
      </c>
      <c r="K69" s="1" t="s">
        <v>2799</v>
      </c>
      <c r="L69" s="1" t="s">
        <v>2800</v>
      </c>
      <c r="M69" s="1" t="s">
        <v>2801</v>
      </c>
      <c r="N69" s="1" t="s">
        <v>2802</v>
      </c>
      <c r="O69" s="1" t="s">
        <v>22</v>
      </c>
      <c r="P69" s="1">
        <v>2025</v>
      </c>
      <c r="Q69" s="1">
        <v>18</v>
      </c>
      <c r="R69" s="1">
        <v>6</v>
      </c>
      <c r="S69" s="1">
        <v>1515</v>
      </c>
      <c r="T69" s="1">
        <v>1542</v>
      </c>
      <c r="U69" s="1" t="s">
        <v>2803</v>
      </c>
      <c r="V69" s="1" t="str">
        <f>HYPERLINK("http://dx.doi.org/10.1007/s12273-025-1267-1","http://dx.doi.org/10.1007/s12273-025-1267-1")</f>
        <v>http://dx.doi.org/10.1007/s12273-025-1267-1</v>
      </c>
    </row>
    <row r="70" spans="1:22" x14ac:dyDescent="0.4">
      <c r="C70" s="1" t="s">
        <v>1622</v>
      </c>
      <c r="D70" s="1" t="s">
        <v>1623</v>
      </c>
      <c r="E70" s="1" t="s">
        <v>1624</v>
      </c>
      <c r="F70" s="1" t="s">
        <v>12</v>
      </c>
      <c r="G70" s="1" t="s">
        <v>262</v>
      </c>
      <c r="H70" s="1" t="s">
        <v>1625</v>
      </c>
      <c r="I70" s="1" t="s">
        <v>1626</v>
      </c>
      <c r="J70" s="1" t="s">
        <v>1627</v>
      </c>
      <c r="K70" s="1" t="s">
        <v>1628</v>
      </c>
      <c r="L70" s="1" t="s">
        <v>1629</v>
      </c>
      <c r="M70" s="1" t="s">
        <v>1630</v>
      </c>
      <c r="N70" s="1" t="s">
        <v>1631</v>
      </c>
      <c r="O70" s="1" t="s">
        <v>24</v>
      </c>
      <c r="P70" s="1">
        <v>2025</v>
      </c>
      <c r="Q70" s="1">
        <v>18</v>
      </c>
      <c r="R70" s="1">
        <v>1</v>
      </c>
      <c r="S70" s="1">
        <v>183</v>
      </c>
      <c r="T70" s="1">
        <v>206</v>
      </c>
      <c r="U70" s="1" t="s">
        <v>1632</v>
      </c>
      <c r="V70" s="1" t="str">
        <f>HYPERLINK("http://dx.doi.org/10.1007/s12273-024-1206-6","http://dx.doi.org/10.1007/s12273-024-1206-6")</f>
        <v>http://dx.doi.org/10.1007/s12273-024-1206-6</v>
      </c>
    </row>
    <row r="72" spans="1:22" ht="13.7" x14ac:dyDescent="0.5">
      <c r="A72" s="4" t="s">
        <v>89</v>
      </c>
      <c r="B72" s="10" t="s">
        <v>90</v>
      </c>
      <c r="E72" s="4"/>
      <c r="F72" s="10"/>
    </row>
    <row r="73" spans="1:22" x14ac:dyDescent="0.4">
      <c r="C73" s="1" t="s">
        <v>409</v>
      </c>
      <c r="D73" s="1" t="s">
        <v>410</v>
      </c>
      <c r="E73" s="1" t="s">
        <v>411</v>
      </c>
      <c r="F73" s="1" t="s">
        <v>12</v>
      </c>
      <c r="G73" s="1" t="s">
        <v>262</v>
      </c>
      <c r="H73" s="1" t="s">
        <v>412</v>
      </c>
      <c r="I73" s="1" t="s">
        <v>413</v>
      </c>
      <c r="J73" s="1" t="s">
        <v>414</v>
      </c>
      <c r="K73" s="1" t="s">
        <v>415</v>
      </c>
      <c r="L73" s="1" t="s">
        <v>281</v>
      </c>
      <c r="M73" s="1" t="s">
        <v>416</v>
      </c>
      <c r="N73" s="1" t="s">
        <v>417</v>
      </c>
      <c r="O73" s="1" t="s">
        <v>23</v>
      </c>
      <c r="P73" s="1">
        <v>2024</v>
      </c>
      <c r="Q73" s="1">
        <v>17</v>
      </c>
      <c r="R73" s="1">
        <v>4</v>
      </c>
      <c r="S73" s="1">
        <v>591</v>
      </c>
      <c r="T73" s="1">
        <v>605</v>
      </c>
      <c r="U73" s="1" t="s">
        <v>418</v>
      </c>
      <c r="V73" s="1" t="str">
        <f>HYPERLINK("http://dx.doi.org/10.1007/s12273-024-1101-1","http://dx.doi.org/10.1007/s12273-024-1101-1")</f>
        <v>http://dx.doi.org/10.1007/s12273-024-1101-1</v>
      </c>
    </row>
    <row r="74" spans="1:22" x14ac:dyDescent="0.4">
      <c r="C74" s="1" t="s">
        <v>1134</v>
      </c>
      <c r="D74" s="1" t="s">
        <v>1135</v>
      </c>
      <c r="E74" s="1" t="s">
        <v>1136</v>
      </c>
      <c r="F74" s="1" t="s">
        <v>12</v>
      </c>
      <c r="G74" s="1" t="s">
        <v>1080</v>
      </c>
      <c r="H74" s="1" t="s">
        <v>1137</v>
      </c>
      <c r="I74" s="1" t="s">
        <v>1138</v>
      </c>
      <c r="J74" s="1" t="s">
        <v>1139</v>
      </c>
      <c r="K74" s="1" t="s">
        <v>1140</v>
      </c>
      <c r="L74" s="1" t="s">
        <v>282</v>
      </c>
      <c r="M74" s="1" t="s">
        <v>1141</v>
      </c>
      <c r="N74" s="1" t="s">
        <v>1142</v>
      </c>
      <c r="O74" s="1" t="s">
        <v>15</v>
      </c>
      <c r="P74" s="1">
        <v>2024</v>
      </c>
      <c r="Q74" s="1">
        <v>17</v>
      </c>
      <c r="R74" s="1">
        <v>10</v>
      </c>
      <c r="S74" s="1">
        <v>1749</v>
      </c>
      <c r="T74" s="1">
        <v>1765</v>
      </c>
      <c r="U74" s="1" t="s">
        <v>1143</v>
      </c>
      <c r="V74" s="1" t="str">
        <f>HYPERLINK("http://dx.doi.org/10.1007/s12273-024-1155-0","http://dx.doi.org/10.1007/s12273-024-1155-0")</f>
        <v>http://dx.doi.org/10.1007/s12273-024-1155-0</v>
      </c>
    </row>
    <row r="76" spans="1:22" ht="13.7" x14ac:dyDescent="0.5">
      <c r="A76" s="4" t="s">
        <v>91</v>
      </c>
      <c r="B76" s="10" t="s">
        <v>92</v>
      </c>
      <c r="E76" s="4"/>
      <c r="F76" s="10"/>
    </row>
    <row r="77" spans="1:22" x14ac:dyDescent="0.4">
      <c r="C77" s="1" t="s">
        <v>658</v>
      </c>
      <c r="D77" s="1" t="s">
        <v>659</v>
      </c>
      <c r="E77" s="1" t="s">
        <v>660</v>
      </c>
      <c r="F77" s="1" t="s">
        <v>12</v>
      </c>
      <c r="G77" s="1" t="s">
        <v>262</v>
      </c>
      <c r="H77" s="1" t="s">
        <v>661</v>
      </c>
      <c r="I77" s="1" t="s">
        <v>662</v>
      </c>
      <c r="J77" s="1" t="s">
        <v>663</v>
      </c>
      <c r="K77" s="1" t="s">
        <v>664</v>
      </c>
      <c r="L77" s="1" t="s">
        <v>665</v>
      </c>
      <c r="M77" s="1" t="s">
        <v>666</v>
      </c>
      <c r="N77" s="1" t="s">
        <v>667</v>
      </c>
      <c r="O77" s="1" t="s">
        <v>22</v>
      </c>
      <c r="P77" s="1">
        <v>2024</v>
      </c>
      <c r="Q77" s="1">
        <v>17</v>
      </c>
      <c r="R77" s="1">
        <v>6</v>
      </c>
      <c r="S77" s="1">
        <v>983</v>
      </c>
      <c r="T77" s="1">
        <v>1006</v>
      </c>
      <c r="U77" s="1" t="s">
        <v>668</v>
      </c>
      <c r="V77" s="1" t="str">
        <f>HYPERLINK("http://dx.doi.org/10.1007/s12273-024-1117-6","http://dx.doi.org/10.1007/s12273-024-1117-6")</f>
        <v>http://dx.doi.org/10.1007/s12273-024-1117-6</v>
      </c>
    </row>
    <row r="78" spans="1:22" x14ac:dyDescent="0.4">
      <c r="C78" s="1" t="s">
        <v>2430</v>
      </c>
      <c r="D78" s="1" t="s">
        <v>2431</v>
      </c>
      <c r="E78" s="1" t="s">
        <v>2432</v>
      </c>
      <c r="F78" s="1" t="s">
        <v>12</v>
      </c>
      <c r="G78" s="1" t="s">
        <v>262</v>
      </c>
      <c r="H78" s="1" t="s">
        <v>2433</v>
      </c>
      <c r="I78" s="1" t="s">
        <v>2434</v>
      </c>
      <c r="J78" s="1" t="s">
        <v>2435</v>
      </c>
      <c r="K78" s="1" t="s">
        <v>2436</v>
      </c>
      <c r="L78" s="1" t="s">
        <v>2437</v>
      </c>
      <c r="M78" s="1" t="s">
        <v>2438</v>
      </c>
      <c r="N78" s="1" t="s">
        <v>2439</v>
      </c>
      <c r="O78" s="1" t="s">
        <v>20</v>
      </c>
      <c r="P78" s="1">
        <v>2025</v>
      </c>
      <c r="Q78" s="1">
        <v>18</v>
      </c>
      <c r="R78" s="1">
        <v>7</v>
      </c>
      <c r="S78" s="1">
        <v>1727</v>
      </c>
      <c r="T78" s="1">
        <v>1742</v>
      </c>
      <c r="U78" s="1" t="s">
        <v>2440</v>
      </c>
      <c r="V78" s="1" t="str">
        <f>HYPERLINK("http://dx.doi.org/10.1007/s12273-025-1278-y","http://dx.doi.org/10.1007/s12273-025-1278-y")</f>
        <v>http://dx.doi.org/10.1007/s12273-025-1278-y</v>
      </c>
    </row>
    <row r="79" spans="1:22" x14ac:dyDescent="0.4">
      <c r="C79" s="1" t="s">
        <v>2681</v>
      </c>
      <c r="D79" s="1" t="s">
        <v>2682</v>
      </c>
      <c r="E79" s="1" t="s">
        <v>2683</v>
      </c>
      <c r="F79" s="1" t="s">
        <v>12</v>
      </c>
      <c r="G79" s="1" t="s">
        <v>262</v>
      </c>
      <c r="H79" s="1" t="s">
        <v>2684</v>
      </c>
      <c r="I79" s="1" t="s">
        <v>11</v>
      </c>
      <c r="J79" s="1" t="s">
        <v>2685</v>
      </c>
      <c r="K79" s="1" t="s">
        <v>2686</v>
      </c>
      <c r="L79" s="1" t="s">
        <v>295</v>
      </c>
      <c r="M79" s="1" t="s">
        <v>1522</v>
      </c>
      <c r="N79" s="1" t="s">
        <v>1523</v>
      </c>
      <c r="O79" s="1" t="s">
        <v>22</v>
      </c>
      <c r="P79" s="1">
        <v>2025</v>
      </c>
      <c r="Q79" s="1">
        <v>18</v>
      </c>
      <c r="R79" s="1">
        <v>6</v>
      </c>
      <c r="S79" s="1">
        <v>1561</v>
      </c>
      <c r="T79" s="1">
        <v>1579</v>
      </c>
      <c r="U79" s="1" t="s">
        <v>2687</v>
      </c>
      <c r="V79" s="1" t="str">
        <f>HYPERLINK("http://dx.doi.org/10.1007/s12273-025-1290-2","http://dx.doi.org/10.1007/s12273-025-1290-2")</f>
        <v>http://dx.doi.org/10.1007/s12273-025-1290-2</v>
      </c>
    </row>
    <row r="80" spans="1:22" x14ac:dyDescent="0.4">
      <c r="C80" s="1" t="s">
        <v>3220</v>
      </c>
      <c r="D80" s="1" t="s">
        <v>3221</v>
      </c>
      <c r="E80" s="1" t="s">
        <v>3222</v>
      </c>
      <c r="F80" s="1" t="s">
        <v>12</v>
      </c>
      <c r="G80" s="1" t="s">
        <v>262</v>
      </c>
      <c r="H80" s="1" t="s">
        <v>3223</v>
      </c>
      <c r="I80" s="1" t="s">
        <v>3224</v>
      </c>
      <c r="J80" s="1" t="s">
        <v>3225</v>
      </c>
      <c r="K80" s="1" t="s">
        <v>3226</v>
      </c>
      <c r="L80" s="1" t="s">
        <v>3227</v>
      </c>
      <c r="M80" s="1" t="s">
        <v>278</v>
      </c>
      <c r="N80" s="1" t="s">
        <v>279</v>
      </c>
      <c r="O80" s="1" t="s">
        <v>21</v>
      </c>
      <c r="P80" s="1">
        <v>2025</v>
      </c>
      <c r="Q80" s="1">
        <v>18</v>
      </c>
      <c r="R80" s="1">
        <v>5</v>
      </c>
      <c r="S80" s="1">
        <v>1163</v>
      </c>
      <c r="T80" s="1">
        <v>1178</v>
      </c>
      <c r="U80" s="1" t="s">
        <v>3228</v>
      </c>
      <c r="V80" s="1" t="str">
        <f>HYPERLINK("http://dx.doi.org/10.1007/s12273-025-1248-4","http://dx.doi.org/10.1007/s12273-025-1248-4")</f>
        <v>http://dx.doi.org/10.1007/s12273-025-1248-4</v>
      </c>
    </row>
    <row r="81" spans="1:22" x14ac:dyDescent="0.4">
      <c r="C81" s="1" t="s">
        <v>1587</v>
      </c>
      <c r="D81" s="1" t="s">
        <v>1588</v>
      </c>
      <c r="E81" s="1" t="s">
        <v>1589</v>
      </c>
      <c r="F81" s="1" t="s">
        <v>12</v>
      </c>
      <c r="G81" s="1" t="s">
        <v>262</v>
      </c>
      <c r="H81" s="1" t="s">
        <v>1590</v>
      </c>
      <c r="I81" s="1" t="s">
        <v>1591</v>
      </c>
      <c r="J81" s="1" t="s">
        <v>1592</v>
      </c>
      <c r="K81" s="1" t="s">
        <v>1593</v>
      </c>
      <c r="L81" s="1" t="s">
        <v>1594</v>
      </c>
      <c r="M81" s="1" t="s">
        <v>1595</v>
      </c>
      <c r="N81" s="1" t="s">
        <v>465</v>
      </c>
      <c r="O81" s="1" t="s">
        <v>24</v>
      </c>
      <c r="P81" s="1">
        <v>2025</v>
      </c>
      <c r="Q81" s="1">
        <v>18</v>
      </c>
      <c r="R81" s="1">
        <v>1</v>
      </c>
      <c r="S81" s="1">
        <v>123</v>
      </c>
      <c r="T81" s="1">
        <v>140</v>
      </c>
      <c r="U81" s="1" t="s">
        <v>1596</v>
      </c>
      <c r="V81" s="1" t="str">
        <f>HYPERLINK("http://dx.doi.org/10.1007/s12273-024-1198-2","http://dx.doi.org/10.1007/s12273-024-1198-2")</f>
        <v>http://dx.doi.org/10.1007/s12273-024-1198-2</v>
      </c>
    </row>
    <row r="82" spans="1:22" x14ac:dyDescent="0.4">
      <c r="C82" s="1" t="s">
        <v>3549</v>
      </c>
      <c r="D82" s="1" t="s">
        <v>3550</v>
      </c>
      <c r="E82" s="1" t="s">
        <v>3551</v>
      </c>
      <c r="F82" s="1" t="s">
        <v>12</v>
      </c>
      <c r="G82" s="1" t="s">
        <v>273</v>
      </c>
      <c r="H82" s="1" t="s">
        <v>3552</v>
      </c>
      <c r="I82" s="1" t="s">
        <v>3553</v>
      </c>
      <c r="J82" s="1" t="s">
        <v>3554</v>
      </c>
      <c r="K82" s="1" t="s">
        <v>3555</v>
      </c>
      <c r="L82" s="1" t="s">
        <v>3556</v>
      </c>
      <c r="M82" s="1" t="s">
        <v>1548</v>
      </c>
      <c r="N82" s="1" t="s">
        <v>1549</v>
      </c>
      <c r="O82" s="1" t="s">
        <v>21</v>
      </c>
      <c r="P82" s="1">
        <v>2025</v>
      </c>
      <c r="Q82" s="1">
        <v>18</v>
      </c>
      <c r="R82" s="1">
        <v>5</v>
      </c>
      <c r="S82" s="1">
        <v>979</v>
      </c>
      <c r="T82" s="1">
        <v>998</v>
      </c>
      <c r="U82" s="1" t="s">
        <v>3557</v>
      </c>
      <c r="V82" s="1" t="str">
        <f>HYPERLINK("http://dx.doi.org/10.1007/s12273-025-1249-3","http://dx.doi.org/10.1007/s12273-025-1249-3")</f>
        <v>http://dx.doi.org/10.1007/s12273-025-1249-3</v>
      </c>
    </row>
    <row r="84" spans="1:22" ht="13.7" x14ac:dyDescent="0.5">
      <c r="A84" s="4" t="s">
        <v>93</v>
      </c>
      <c r="B84" s="10" t="s">
        <v>94</v>
      </c>
      <c r="E84" s="4"/>
      <c r="F84" s="10"/>
    </row>
    <row r="85" spans="1:22" x14ac:dyDescent="0.4">
      <c r="C85" s="1" t="s">
        <v>1844</v>
      </c>
      <c r="D85" s="1" t="s">
        <v>1845</v>
      </c>
      <c r="E85" s="1" t="s">
        <v>1846</v>
      </c>
      <c r="F85" s="1" t="s">
        <v>12</v>
      </c>
      <c r="G85" s="1" t="s">
        <v>262</v>
      </c>
      <c r="H85" s="1" t="s">
        <v>1847</v>
      </c>
      <c r="I85" s="1" t="s">
        <v>1848</v>
      </c>
      <c r="J85" s="1" t="s">
        <v>1849</v>
      </c>
      <c r="K85" s="1" t="s">
        <v>1850</v>
      </c>
      <c r="L85" s="1" t="s">
        <v>1851</v>
      </c>
      <c r="M85" s="1" t="s">
        <v>1852</v>
      </c>
      <c r="N85" s="1" t="s">
        <v>1853</v>
      </c>
      <c r="O85" s="1" t="s">
        <v>27</v>
      </c>
      <c r="P85" s="1">
        <v>2025</v>
      </c>
      <c r="Q85" s="1">
        <v>18</v>
      </c>
      <c r="R85" s="1">
        <v>12</v>
      </c>
      <c r="S85" s="1">
        <v>3373</v>
      </c>
      <c r="T85" s="1">
        <v>3391</v>
      </c>
      <c r="U85" s="1" t="s">
        <v>1854</v>
      </c>
      <c r="V85" s="1" t="str">
        <f>HYPERLINK("http://dx.doi.org/10.1007/s12273-025-1391-y","http://dx.doi.org/10.1007/s12273-025-1391-y")</f>
        <v>http://dx.doi.org/10.1007/s12273-025-1391-y</v>
      </c>
    </row>
    <row r="86" spans="1:22" ht="13.7" x14ac:dyDescent="0.5">
      <c r="A86" s="4" t="s">
        <v>95</v>
      </c>
      <c r="B86" s="10" t="s">
        <v>96</v>
      </c>
      <c r="E86" s="4"/>
      <c r="F86" s="10"/>
    </row>
    <row r="87" spans="1:22" x14ac:dyDescent="0.4">
      <c r="C87" s="1" t="s">
        <v>493</v>
      </c>
      <c r="D87" s="1" t="s">
        <v>494</v>
      </c>
      <c r="E87" s="1" t="s">
        <v>495</v>
      </c>
      <c r="F87" s="1" t="s">
        <v>12</v>
      </c>
      <c r="G87" s="1" t="s">
        <v>262</v>
      </c>
      <c r="H87" s="1" t="s">
        <v>496</v>
      </c>
      <c r="I87" s="1" t="s">
        <v>497</v>
      </c>
      <c r="J87" s="1" t="s">
        <v>498</v>
      </c>
      <c r="K87" s="1" t="s">
        <v>499</v>
      </c>
      <c r="L87" s="1" t="s">
        <v>500</v>
      </c>
      <c r="M87" s="1" t="s">
        <v>501</v>
      </c>
      <c r="N87" s="1" t="s">
        <v>502</v>
      </c>
      <c r="O87" s="1" t="s">
        <v>21</v>
      </c>
      <c r="P87" s="1">
        <v>2024</v>
      </c>
      <c r="Q87" s="1">
        <v>17</v>
      </c>
      <c r="R87" s="1">
        <v>5</v>
      </c>
      <c r="S87" s="1">
        <v>723</v>
      </c>
      <c r="T87" s="1">
        <v>738</v>
      </c>
      <c r="U87" s="1" t="s">
        <v>503</v>
      </c>
      <c r="V87" s="1" t="str">
        <f>HYPERLINK("http://dx.doi.org/10.1007/s12273-024-1113-x","http://dx.doi.org/10.1007/s12273-024-1113-x")</f>
        <v>http://dx.doi.org/10.1007/s12273-024-1113-x</v>
      </c>
    </row>
    <row r="88" spans="1:22" x14ac:dyDescent="0.4">
      <c r="C88" s="1" t="s">
        <v>1039</v>
      </c>
      <c r="D88" s="1" t="s">
        <v>1040</v>
      </c>
      <c r="E88" s="1" t="s">
        <v>1041</v>
      </c>
      <c r="F88" s="1" t="s">
        <v>12</v>
      </c>
      <c r="G88" s="1" t="s">
        <v>262</v>
      </c>
      <c r="H88" s="1" t="s">
        <v>1042</v>
      </c>
      <c r="I88" s="1" t="s">
        <v>1043</v>
      </c>
      <c r="J88" s="1" t="s">
        <v>1044</v>
      </c>
      <c r="K88" s="1" t="s">
        <v>1045</v>
      </c>
      <c r="L88" s="1" t="s">
        <v>1046</v>
      </c>
      <c r="M88" s="1" t="s">
        <v>1047</v>
      </c>
      <c r="N88" s="1" t="s">
        <v>1048</v>
      </c>
      <c r="O88" s="1" t="s">
        <v>16</v>
      </c>
      <c r="P88" s="1">
        <v>2024</v>
      </c>
      <c r="Q88" s="1">
        <v>17</v>
      </c>
      <c r="R88" s="1">
        <v>9</v>
      </c>
      <c r="S88" s="1">
        <v>1615</v>
      </c>
      <c r="T88" s="1">
        <v>1628</v>
      </c>
      <c r="U88" s="1" t="s">
        <v>1049</v>
      </c>
      <c r="V88" s="1" t="str">
        <f>HYPERLINK("http://dx.doi.org/10.1007/s12273-024-1162-1","http://dx.doi.org/10.1007/s12273-024-1162-1")</f>
        <v>http://dx.doi.org/10.1007/s12273-024-1162-1</v>
      </c>
    </row>
    <row r="89" spans="1:22" x14ac:dyDescent="0.4">
      <c r="C89" s="1" t="s">
        <v>2669</v>
      </c>
      <c r="D89" s="1" t="s">
        <v>2670</v>
      </c>
      <c r="E89" s="1" t="s">
        <v>2671</v>
      </c>
      <c r="F89" s="1" t="s">
        <v>12</v>
      </c>
      <c r="G89" s="1" t="s">
        <v>262</v>
      </c>
      <c r="H89" s="1" t="s">
        <v>2672</v>
      </c>
      <c r="I89" s="1" t="s">
        <v>2673</v>
      </c>
      <c r="J89" s="1" t="s">
        <v>2674</v>
      </c>
      <c r="K89" s="1" t="s">
        <v>2675</v>
      </c>
      <c r="L89" s="1" t="s">
        <v>2676</v>
      </c>
      <c r="M89" s="1" t="s">
        <v>2677</v>
      </c>
      <c r="N89" s="1" t="s">
        <v>2678</v>
      </c>
      <c r="O89" s="1" t="s">
        <v>22</v>
      </c>
      <c r="P89" s="1">
        <v>2025</v>
      </c>
      <c r="Q89" s="1">
        <v>18</v>
      </c>
      <c r="R89" s="1">
        <v>6</v>
      </c>
      <c r="S89" s="1">
        <v>1497</v>
      </c>
      <c r="T89" s="1">
        <v>1514</v>
      </c>
      <c r="U89" s="1" t="s">
        <v>2679</v>
      </c>
      <c r="V89" s="1" t="str">
        <f>HYPERLINK("http://dx.doi.org/10.1007/s12273-025-1308-9","http://dx.doi.org/10.1007/s12273-025-1308-9")</f>
        <v>http://dx.doi.org/10.1007/s12273-025-1308-9</v>
      </c>
    </row>
    <row r="91" spans="1:22" ht="13.7" x14ac:dyDescent="0.5">
      <c r="A91" s="4" t="s">
        <v>1736</v>
      </c>
      <c r="B91" s="1" t="s">
        <v>1778</v>
      </c>
      <c r="D91" s="10"/>
      <c r="E91" s="4"/>
      <c r="F91" s="10"/>
    </row>
    <row r="92" spans="1:22" x14ac:dyDescent="0.4">
      <c r="C92" s="1" t="s">
        <v>3041</v>
      </c>
      <c r="D92" s="1" t="s">
        <v>3042</v>
      </c>
      <c r="E92" s="1" t="s">
        <v>3043</v>
      </c>
      <c r="F92" s="1" t="s">
        <v>12</v>
      </c>
      <c r="G92" s="1" t="s">
        <v>262</v>
      </c>
      <c r="H92" s="1" t="s">
        <v>3044</v>
      </c>
      <c r="I92" s="1" t="s">
        <v>3045</v>
      </c>
      <c r="J92" s="1" t="s">
        <v>3046</v>
      </c>
      <c r="K92" s="1" t="s">
        <v>3047</v>
      </c>
      <c r="L92" s="1" t="s">
        <v>3048</v>
      </c>
      <c r="M92" s="1" t="s">
        <v>3049</v>
      </c>
      <c r="N92" s="1" t="s">
        <v>3050</v>
      </c>
      <c r="O92" s="1" t="s">
        <v>21</v>
      </c>
      <c r="P92" s="1">
        <v>2025</v>
      </c>
      <c r="Q92" s="1">
        <v>18</v>
      </c>
      <c r="R92" s="1">
        <v>5</v>
      </c>
      <c r="S92" s="1">
        <v>957</v>
      </c>
      <c r="T92" s="1">
        <v>977</v>
      </c>
      <c r="U92" s="1" t="s">
        <v>3051</v>
      </c>
      <c r="V92" s="1" t="str">
        <f>HYPERLINK("http://dx.doi.org/10.1007/s12273-025-1265-3","http://dx.doi.org/10.1007/s12273-025-1265-3")</f>
        <v>http://dx.doi.org/10.1007/s12273-025-1265-3</v>
      </c>
    </row>
    <row r="94" spans="1:22" ht="13.7" x14ac:dyDescent="0.5">
      <c r="A94" s="4" t="s">
        <v>98</v>
      </c>
      <c r="B94" s="10" t="s">
        <v>99</v>
      </c>
      <c r="E94" s="4"/>
      <c r="F94" s="10"/>
    </row>
    <row r="95" spans="1:22" x14ac:dyDescent="0.4">
      <c r="C95" s="1" t="s">
        <v>348</v>
      </c>
      <c r="D95" s="1" t="s">
        <v>349</v>
      </c>
      <c r="E95" s="1" t="s">
        <v>350</v>
      </c>
      <c r="F95" s="1" t="s">
        <v>12</v>
      </c>
      <c r="G95" s="1" t="s">
        <v>262</v>
      </c>
      <c r="H95" s="1" t="s">
        <v>351</v>
      </c>
      <c r="I95" s="1" t="s">
        <v>352</v>
      </c>
      <c r="J95" s="1" t="s">
        <v>353</v>
      </c>
      <c r="K95" s="1" t="s">
        <v>354</v>
      </c>
      <c r="L95" s="1" t="s">
        <v>355</v>
      </c>
      <c r="M95" s="1" t="s">
        <v>356</v>
      </c>
      <c r="N95" s="1" t="s">
        <v>357</v>
      </c>
      <c r="O95" s="1" t="s">
        <v>23</v>
      </c>
      <c r="P95" s="1">
        <v>2024</v>
      </c>
      <c r="Q95" s="1">
        <v>17</v>
      </c>
      <c r="R95" s="1">
        <v>4</v>
      </c>
      <c r="S95" s="1">
        <v>509</v>
      </c>
      <c r="T95" s="1">
        <v>524</v>
      </c>
      <c r="U95" s="1" t="s">
        <v>358</v>
      </c>
      <c r="V95" s="1" t="str">
        <f>HYPERLINK("http://dx.doi.org/10.1007/s12273-024-1103-z","http://dx.doi.org/10.1007/s12273-024-1103-z")</f>
        <v>http://dx.doi.org/10.1007/s12273-024-1103-z</v>
      </c>
    </row>
    <row r="96" spans="1:22" x14ac:dyDescent="0.4">
      <c r="C96" s="1" t="s">
        <v>361</v>
      </c>
      <c r="D96" s="1" t="s">
        <v>362</v>
      </c>
      <c r="E96" s="1" t="s">
        <v>363</v>
      </c>
      <c r="F96" s="1" t="s">
        <v>12</v>
      </c>
      <c r="G96" s="1" t="s">
        <v>262</v>
      </c>
      <c r="H96" s="1" t="s">
        <v>364</v>
      </c>
      <c r="I96" s="1" t="s">
        <v>365</v>
      </c>
      <c r="J96" s="1" t="s">
        <v>366</v>
      </c>
      <c r="K96" s="1" t="s">
        <v>367</v>
      </c>
      <c r="L96" s="1" t="s">
        <v>368</v>
      </c>
      <c r="M96" s="1" t="s">
        <v>369</v>
      </c>
      <c r="N96" s="1" t="s">
        <v>370</v>
      </c>
      <c r="O96" s="1" t="s">
        <v>23</v>
      </c>
      <c r="P96" s="1">
        <v>2024</v>
      </c>
      <c r="Q96" s="1">
        <v>17</v>
      </c>
      <c r="R96" s="1">
        <v>4</v>
      </c>
      <c r="S96" s="1">
        <v>525</v>
      </c>
      <c r="T96" s="1">
        <v>542</v>
      </c>
      <c r="U96" s="1" t="s">
        <v>371</v>
      </c>
      <c r="V96" s="1" t="str">
        <f>HYPERLINK("http://dx.doi.org/10.1007/s12273-023-1096-z","http://dx.doi.org/10.1007/s12273-023-1096-z")</f>
        <v>http://dx.doi.org/10.1007/s12273-023-1096-z</v>
      </c>
    </row>
    <row r="97" spans="1:22" x14ac:dyDescent="0.4">
      <c r="C97" s="1" t="s">
        <v>576</v>
      </c>
      <c r="D97" s="1" t="s">
        <v>577</v>
      </c>
      <c r="E97" s="1" t="s">
        <v>578</v>
      </c>
      <c r="F97" s="1" t="s">
        <v>12</v>
      </c>
      <c r="G97" s="1" t="s">
        <v>262</v>
      </c>
      <c r="H97" s="1" t="s">
        <v>579</v>
      </c>
      <c r="I97" s="1" t="s">
        <v>580</v>
      </c>
      <c r="J97" s="1" t="s">
        <v>581</v>
      </c>
      <c r="K97" s="1" t="s">
        <v>582</v>
      </c>
      <c r="L97" s="1" t="s">
        <v>583</v>
      </c>
      <c r="M97" s="1" t="s">
        <v>584</v>
      </c>
      <c r="N97" s="1" t="s">
        <v>585</v>
      </c>
      <c r="O97" s="1" t="s">
        <v>22</v>
      </c>
      <c r="P97" s="1">
        <v>2024</v>
      </c>
      <c r="Q97" s="1">
        <v>17</v>
      </c>
      <c r="R97" s="1">
        <v>6</v>
      </c>
      <c r="S97" s="1">
        <v>857</v>
      </c>
      <c r="T97" s="1">
        <v>875</v>
      </c>
      <c r="U97" s="1" t="s">
        <v>586</v>
      </c>
      <c r="V97" s="1" t="str">
        <f>HYPERLINK("http://dx.doi.org/10.1007/s12273-024-1126-5","http://dx.doi.org/10.1007/s12273-024-1126-5")</f>
        <v>http://dx.doi.org/10.1007/s12273-024-1126-5</v>
      </c>
    </row>
    <row r="98" spans="1:22" x14ac:dyDescent="0.4">
      <c r="C98" s="1" t="s">
        <v>1193</v>
      </c>
      <c r="D98" s="1" t="s">
        <v>1194</v>
      </c>
      <c r="E98" s="1" t="s">
        <v>1195</v>
      </c>
      <c r="F98" s="1" t="s">
        <v>12</v>
      </c>
      <c r="G98" s="1" t="s">
        <v>1745</v>
      </c>
      <c r="H98" s="1" t="s">
        <v>1196</v>
      </c>
      <c r="I98" s="1" t="s">
        <v>1197</v>
      </c>
      <c r="J98" s="1" t="s">
        <v>1198</v>
      </c>
      <c r="K98" s="1" t="s">
        <v>1199</v>
      </c>
      <c r="L98" s="1" t="s">
        <v>1200</v>
      </c>
      <c r="M98" s="1" t="s">
        <v>1201</v>
      </c>
      <c r="N98" s="1" t="s">
        <v>1202</v>
      </c>
      <c r="O98" s="1" t="s">
        <v>15</v>
      </c>
      <c r="P98" s="1">
        <v>2024</v>
      </c>
      <c r="Q98" s="1">
        <v>17</v>
      </c>
      <c r="R98" s="1">
        <v>10</v>
      </c>
      <c r="S98" s="1">
        <v>1841</v>
      </c>
      <c r="T98" s="1">
        <v>1870</v>
      </c>
      <c r="U98" s="1" t="s">
        <v>1203</v>
      </c>
      <c r="V98" s="1" t="str">
        <f>HYPERLINK("http://dx.doi.org/10.1007/s12273-024-1156-z","http://dx.doi.org/10.1007/s12273-024-1156-z")</f>
        <v>http://dx.doi.org/10.1007/s12273-024-1156-z</v>
      </c>
    </row>
    <row r="99" spans="1:22" x14ac:dyDescent="0.4">
      <c r="C99" s="1" t="s">
        <v>1205</v>
      </c>
      <c r="D99" s="1" t="s">
        <v>1206</v>
      </c>
      <c r="E99" s="1" t="s">
        <v>1207</v>
      </c>
      <c r="F99" s="1" t="s">
        <v>12</v>
      </c>
      <c r="G99" s="1" t="s">
        <v>1080</v>
      </c>
      <c r="H99" s="1" t="s">
        <v>1208</v>
      </c>
      <c r="I99" s="1" t="s">
        <v>1209</v>
      </c>
      <c r="J99" s="1" t="s">
        <v>1210</v>
      </c>
      <c r="K99" s="1" t="s">
        <v>1211</v>
      </c>
      <c r="L99" s="1" t="s">
        <v>1212</v>
      </c>
      <c r="M99" s="1" t="s">
        <v>1213</v>
      </c>
      <c r="N99" s="1" t="s">
        <v>1214</v>
      </c>
      <c r="O99" s="1" t="s">
        <v>15</v>
      </c>
      <c r="P99" s="1">
        <v>2024</v>
      </c>
      <c r="Q99" s="1">
        <v>17</v>
      </c>
      <c r="R99" s="1">
        <v>10</v>
      </c>
      <c r="S99" s="1">
        <v>1871</v>
      </c>
      <c r="T99" s="1">
        <v>1891</v>
      </c>
      <c r="U99" s="1" t="s">
        <v>1215</v>
      </c>
      <c r="V99" s="1" t="str">
        <f>HYPERLINK("http://dx.doi.org/10.1007/s12273-024-1160-3","http://dx.doi.org/10.1007/s12273-024-1160-3")</f>
        <v>http://dx.doi.org/10.1007/s12273-024-1160-3</v>
      </c>
    </row>
    <row r="100" spans="1:22" x14ac:dyDescent="0.4">
      <c r="C100" s="1" t="s">
        <v>1347</v>
      </c>
      <c r="D100" s="1" t="s">
        <v>1348</v>
      </c>
      <c r="E100" s="1" t="s">
        <v>1349</v>
      </c>
      <c r="F100" s="1" t="s">
        <v>12</v>
      </c>
      <c r="G100" s="1" t="s">
        <v>262</v>
      </c>
      <c r="H100" s="1" t="s">
        <v>1350</v>
      </c>
      <c r="I100" s="1" t="s">
        <v>1351</v>
      </c>
      <c r="J100" s="1" t="s">
        <v>1352</v>
      </c>
      <c r="K100" s="1" t="s">
        <v>1353</v>
      </c>
      <c r="L100" s="1" t="s">
        <v>1354</v>
      </c>
      <c r="M100" s="1" t="s">
        <v>1355</v>
      </c>
      <c r="N100" s="1" t="s">
        <v>1356</v>
      </c>
      <c r="O100" s="1" t="s">
        <v>14</v>
      </c>
      <c r="P100" s="1">
        <v>2024</v>
      </c>
      <c r="Q100" s="1">
        <v>17</v>
      </c>
      <c r="R100" s="1">
        <v>11</v>
      </c>
      <c r="S100" s="1">
        <v>2097</v>
      </c>
      <c r="T100" s="1">
        <v>2123</v>
      </c>
      <c r="U100" s="1" t="s">
        <v>1357</v>
      </c>
      <c r="V100" s="1" t="str">
        <f>HYPERLINK("http://dx.doi.org/10.1007/s12273-024-1178-6","http://dx.doi.org/10.1007/s12273-024-1178-6")</f>
        <v>http://dx.doi.org/10.1007/s12273-024-1178-6</v>
      </c>
    </row>
    <row r="101" spans="1:22" x14ac:dyDescent="0.4">
      <c r="C101" s="1" t="s">
        <v>1681</v>
      </c>
      <c r="D101" s="1" t="s">
        <v>1682</v>
      </c>
      <c r="E101" s="1" t="s">
        <v>1683</v>
      </c>
      <c r="F101" s="1" t="s">
        <v>12</v>
      </c>
      <c r="G101" s="1" t="s">
        <v>1761</v>
      </c>
      <c r="H101" s="1" t="s">
        <v>1684</v>
      </c>
      <c r="I101" s="1" t="s">
        <v>1685</v>
      </c>
      <c r="J101" s="1" t="s">
        <v>1686</v>
      </c>
      <c r="K101" s="1" t="s">
        <v>1687</v>
      </c>
      <c r="L101" s="1" t="s">
        <v>1688</v>
      </c>
      <c r="M101" s="1" t="s">
        <v>930</v>
      </c>
      <c r="N101" s="1" t="s">
        <v>280</v>
      </c>
      <c r="O101" s="1" t="s">
        <v>1762</v>
      </c>
      <c r="P101" s="1">
        <v>2025</v>
      </c>
      <c r="Q101" s="1">
        <v>18</v>
      </c>
      <c r="R101" s="1">
        <v>2</v>
      </c>
      <c r="S101" s="1">
        <v>321</v>
      </c>
      <c r="T101" s="1">
        <v>337</v>
      </c>
      <c r="U101" s="1" t="s">
        <v>1689</v>
      </c>
      <c r="V101" s="1" t="str">
        <f>HYPERLINK("http://dx.doi.org/10.1007/s12273-024-1212-8","http://dx.doi.org/10.1007/s12273-024-1212-8")</f>
        <v>http://dx.doi.org/10.1007/s12273-024-1212-8</v>
      </c>
    </row>
    <row r="102" spans="1:22" ht="13.7" x14ac:dyDescent="0.5">
      <c r="A102" s="4" t="s">
        <v>1769</v>
      </c>
      <c r="B102" s="4" t="s">
        <v>1770</v>
      </c>
    </row>
    <row r="103" spans="1:22" x14ac:dyDescent="0.4">
      <c r="C103" s="1" t="s">
        <v>1217</v>
      </c>
      <c r="D103" s="1" t="s">
        <v>1218</v>
      </c>
      <c r="E103" s="1" t="s">
        <v>1219</v>
      </c>
      <c r="F103" s="1" t="s">
        <v>12</v>
      </c>
      <c r="G103" s="1" t="s">
        <v>262</v>
      </c>
      <c r="H103" s="1" t="s">
        <v>1220</v>
      </c>
      <c r="I103" s="1" t="s">
        <v>1221</v>
      </c>
      <c r="J103" s="1" t="s">
        <v>1222</v>
      </c>
      <c r="K103" s="1" t="s">
        <v>1223</v>
      </c>
      <c r="L103" s="1" t="s">
        <v>307</v>
      </c>
      <c r="M103" s="1" t="s">
        <v>1224</v>
      </c>
      <c r="N103" s="1" t="s">
        <v>1225</v>
      </c>
      <c r="O103" s="1" t="s">
        <v>14</v>
      </c>
      <c r="P103" s="1">
        <v>2024</v>
      </c>
      <c r="Q103" s="1">
        <v>17</v>
      </c>
      <c r="R103" s="1">
        <v>11</v>
      </c>
      <c r="S103" s="1">
        <v>1893</v>
      </c>
      <c r="T103" s="1">
        <v>1907</v>
      </c>
      <c r="U103" s="1" t="s">
        <v>1226</v>
      </c>
      <c r="V103" s="1" t="str">
        <f>HYPERLINK("http://dx.doi.org/10.1007/s12273-024-1176-8","http://dx.doi.org/10.1007/s12273-024-1176-8")</f>
        <v>http://dx.doi.org/10.1007/s12273-024-1176-8</v>
      </c>
    </row>
  </sheetData>
  <phoneticPr fontId="2" type="noConversion"/>
  <conditionalFormatting sqref="U1">
    <cfRule type="duplicateValues" dxfId="348" priority="56" stopIfTrue="1"/>
  </conditionalFormatting>
  <conditionalFormatting sqref="U3">
    <cfRule type="duplicateValues" dxfId="347" priority="34" stopIfTrue="1"/>
  </conditionalFormatting>
  <conditionalFormatting sqref="U4">
    <cfRule type="duplicateValues" dxfId="346" priority="82" stopIfTrue="1"/>
  </conditionalFormatting>
  <conditionalFormatting sqref="U5">
    <cfRule type="duplicateValues" dxfId="345" priority="30" stopIfTrue="1"/>
  </conditionalFormatting>
  <conditionalFormatting sqref="U6">
    <cfRule type="duplicateValues" dxfId="344" priority="79" stopIfTrue="1"/>
  </conditionalFormatting>
  <conditionalFormatting sqref="U7">
    <cfRule type="duplicateValues" dxfId="343" priority="75" stopIfTrue="1"/>
  </conditionalFormatting>
  <conditionalFormatting sqref="U8">
    <cfRule type="duplicateValues" dxfId="342" priority="28" stopIfTrue="1"/>
  </conditionalFormatting>
  <conditionalFormatting sqref="U9">
    <cfRule type="duplicateValues" dxfId="341" priority="25" stopIfTrue="1"/>
  </conditionalFormatting>
  <conditionalFormatting sqref="U10">
    <cfRule type="duplicateValues" dxfId="340" priority="23" stopIfTrue="1"/>
  </conditionalFormatting>
  <conditionalFormatting sqref="U11">
    <cfRule type="duplicateValues" dxfId="339" priority="18" stopIfTrue="1"/>
  </conditionalFormatting>
  <conditionalFormatting sqref="U12">
    <cfRule type="duplicateValues" dxfId="338" priority="70" stopIfTrue="1"/>
  </conditionalFormatting>
  <conditionalFormatting sqref="U13">
    <cfRule type="duplicateValues" dxfId="337" priority="69" stopIfTrue="1"/>
  </conditionalFormatting>
  <conditionalFormatting sqref="U14">
    <cfRule type="duplicateValues" dxfId="336" priority="13" stopIfTrue="1"/>
  </conditionalFormatting>
  <conditionalFormatting sqref="U15 U19">
    <cfRule type="duplicateValues" dxfId="335" priority="12" stopIfTrue="1"/>
  </conditionalFormatting>
  <conditionalFormatting sqref="U16">
    <cfRule type="duplicateValues" dxfId="334" priority="11" stopIfTrue="1"/>
  </conditionalFormatting>
  <conditionalFormatting sqref="U17">
    <cfRule type="duplicateValues" dxfId="333" priority="4" stopIfTrue="1"/>
  </conditionalFormatting>
  <conditionalFormatting sqref="U18">
    <cfRule type="duplicateValues" dxfId="332" priority="3" stopIfTrue="1"/>
  </conditionalFormatting>
  <conditionalFormatting sqref="U21">
    <cfRule type="duplicateValues" dxfId="331" priority="48" stopIfTrue="1"/>
  </conditionalFormatting>
  <conditionalFormatting sqref="U22">
    <cfRule type="duplicateValues" dxfId="330" priority="78" stopIfTrue="1"/>
  </conditionalFormatting>
  <conditionalFormatting sqref="U23">
    <cfRule type="duplicateValues" dxfId="329" priority="77" stopIfTrue="1"/>
  </conditionalFormatting>
  <conditionalFormatting sqref="U24">
    <cfRule type="duplicateValues" dxfId="328" priority="52" stopIfTrue="1"/>
  </conditionalFormatting>
  <conditionalFormatting sqref="U25">
    <cfRule type="duplicateValues" dxfId="327" priority="50" stopIfTrue="1"/>
  </conditionalFormatting>
  <conditionalFormatting sqref="U26">
    <cfRule type="duplicateValues" dxfId="326" priority="66" stopIfTrue="1"/>
  </conditionalFormatting>
  <conditionalFormatting sqref="U27">
    <cfRule type="duplicateValues" dxfId="325" priority="60" stopIfTrue="1"/>
  </conditionalFormatting>
  <conditionalFormatting sqref="U28">
    <cfRule type="duplicateValues" dxfId="324" priority="59" stopIfTrue="1"/>
  </conditionalFormatting>
  <conditionalFormatting sqref="U29">
    <cfRule type="duplicateValues" dxfId="323" priority="47" stopIfTrue="1"/>
  </conditionalFormatting>
  <conditionalFormatting sqref="U30">
    <cfRule type="duplicateValues" dxfId="322" priority="46" stopIfTrue="1"/>
  </conditionalFormatting>
  <conditionalFormatting sqref="U31">
    <cfRule type="duplicateValues" dxfId="321" priority="44" stopIfTrue="1"/>
  </conditionalFormatting>
  <conditionalFormatting sqref="U32">
    <cfRule type="duplicateValues" dxfId="320" priority="40" stopIfTrue="1"/>
  </conditionalFormatting>
  <conditionalFormatting sqref="U33">
    <cfRule type="duplicateValues" dxfId="319" priority="37" stopIfTrue="1"/>
  </conditionalFormatting>
  <conditionalFormatting sqref="U34">
    <cfRule type="duplicateValues" dxfId="318" priority="38" stopIfTrue="1"/>
  </conditionalFormatting>
  <conditionalFormatting sqref="U35">
    <cfRule type="duplicateValues" dxfId="317" priority="32" stopIfTrue="1"/>
  </conditionalFormatting>
  <conditionalFormatting sqref="U36">
    <cfRule type="duplicateValues" dxfId="316" priority="31" stopIfTrue="1"/>
  </conditionalFormatting>
  <conditionalFormatting sqref="U37 U43">
    <cfRule type="duplicateValues" dxfId="315" priority="21" stopIfTrue="1"/>
  </conditionalFormatting>
  <conditionalFormatting sqref="U38">
    <cfRule type="duplicateValues" dxfId="314" priority="17" stopIfTrue="1"/>
  </conditionalFormatting>
  <conditionalFormatting sqref="U39">
    <cfRule type="duplicateValues" dxfId="313" priority="15" stopIfTrue="1"/>
  </conditionalFormatting>
  <conditionalFormatting sqref="U40">
    <cfRule type="duplicateValues" dxfId="312" priority="5" stopIfTrue="1"/>
  </conditionalFormatting>
  <conditionalFormatting sqref="U41">
    <cfRule type="duplicateValues" dxfId="311" priority="9" stopIfTrue="1"/>
  </conditionalFormatting>
  <conditionalFormatting sqref="U42">
    <cfRule type="duplicateValues" dxfId="310" priority="2" stopIfTrue="1"/>
  </conditionalFormatting>
  <conditionalFormatting sqref="U45">
    <cfRule type="duplicateValues" dxfId="309" priority="53" stopIfTrue="1"/>
  </conditionalFormatting>
  <conditionalFormatting sqref="U46">
    <cfRule type="duplicateValues" dxfId="308" priority="22" stopIfTrue="1"/>
  </conditionalFormatting>
  <conditionalFormatting sqref="U47">
    <cfRule type="duplicateValues" dxfId="307" priority="39" stopIfTrue="1"/>
  </conditionalFormatting>
  <conditionalFormatting sqref="U49">
    <cfRule type="duplicateValues" dxfId="306" priority="49" stopIfTrue="1"/>
  </conditionalFormatting>
  <conditionalFormatting sqref="U50">
    <cfRule type="duplicateValues" dxfId="305" priority="55" stopIfTrue="1"/>
  </conditionalFormatting>
  <conditionalFormatting sqref="U51">
    <cfRule type="duplicateValues" dxfId="304" priority="71" stopIfTrue="1"/>
  </conditionalFormatting>
  <conditionalFormatting sqref="U52">
    <cfRule type="duplicateValues" dxfId="303" priority="72" stopIfTrue="1"/>
  </conditionalFormatting>
  <conditionalFormatting sqref="U53">
    <cfRule type="duplicateValues" dxfId="302" priority="58" stopIfTrue="1"/>
  </conditionalFormatting>
  <conditionalFormatting sqref="U54">
    <cfRule type="duplicateValues" dxfId="301" priority="45" stopIfTrue="1"/>
  </conditionalFormatting>
  <conditionalFormatting sqref="U55">
    <cfRule type="duplicateValues" dxfId="300" priority="43" stopIfTrue="1"/>
  </conditionalFormatting>
  <conditionalFormatting sqref="U56">
    <cfRule type="duplicateValues" dxfId="299" priority="41" stopIfTrue="1"/>
  </conditionalFormatting>
  <conditionalFormatting sqref="U57">
    <cfRule type="duplicateValues" dxfId="298" priority="36" stopIfTrue="1"/>
  </conditionalFormatting>
  <conditionalFormatting sqref="U58">
    <cfRule type="duplicateValues" dxfId="297" priority="29" stopIfTrue="1"/>
  </conditionalFormatting>
  <conditionalFormatting sqref="U59">
    <cfRule type="duplicateValues" dxfId="296" priority="20" stopIfTrue="1"/>
  </conditionalFormatting>
  <conditionalFormatting sqref="U60">
    <cfRule type="duplicateValues" dxfId="295" priority="16" stopIfTrue="1"/>
  </conditionalFormatting>
  <conditionalFormatting sqref="U61">
    <cfRule type="duplicateValues" dxfId="294" priority="10" stopIfTrue="1"/>
  </conditionalFormatting>
  <conditionalFormatting sqref="U62:U63">
    <cfRule type="duplicateValues" dxfId="293" priority="6" stopIfTrue="1"/>
  </conditionalFormatting>
  <conditionalFormatting sqref="U65">
    <cfRule type="duplicateValues" dxfId="292" priority="42" stopIfTrue="1"/>
  </conditionalFormatting>
  <conditionalFormatting sqref="U66">
    <cfRule type="duplicateValues" dxfId="291" priority="74" stopIfTrue="1"/>
  </conditionalFormatting>
  <conditionalFormatting sqref="U67">
    <cfRule type="duplicateValues" dxfId="290" priority="35" stopIfTrue="1"/>
  </conditionalFormatting>
  <conditionalFormatting sqref="U68">
    <cfRule type="duplicateValues" dxfId="289" priority="68" stopIfTrue="1"/>
  </conditionalFormatting>
  <conditionalFormatting sqref="U69">
    <cfRule type="duplicateValues" dxfId="288" priority="24" stopIfTrue="1"/>
  </conditionalFormatting>
  <conditionalFormatting sqref="U70:U71">
    <cfRule type="duplicateValues" dxfId="287" priority="7" stopIfTrue="1"/>
  </conditionalFormatting>
  <conditionalFormatting sqref="U73">
    <cfRule type="duplicateValues" dxfId="286" priority="81" stopIfTrue="1"/>
  </conditionalFormatting>
  <conditionalFormatting sqref="U74">
    <cfRule type="duplicateValues" dxfId="285" priority="65" stopIfTrue="1"/>
  </conditionalFormatting>
  <conditionalFormatting sqref="U75">
    <cfRule type="duplicateValues" dxfId="284" priority="94" stopIfTrue="1"/>
  </conditionalFormatting>
  <conditionalFormatting sqref="U77">
    <cfRule type="duplicateValues" dxfId="283" priority="73" stopIfTrue="1"/>
  </conditionalFormatting>
  <conditionalFormatting sqref="U78">
    <cfRule type="duplicateValues" dxfId="282" priority="33" stopIfTrue="1"/>
  </conditionalFormatting>
  <conditionalFormatting sqref="U79">
    <cfRule type="duplicateValues" dxfId="281" priority="26" stopIfTrue="1"/>
  </conditionalFormatting>
  <conditionalFormatting sqref="U80">
    <cfRule type="duplicateValues" dxfId="280" priority="14" stopIfTrue="1"/>
  </conditionalFormatting>
  <conditionalFormatting sqref="U81 U83">
    <cfRule type="duplicateValues" dxfId="279" priority="8" stopIfTrue="1"/>
  </conditionalFormatting>
  <conditionalFormatting sqref="U82">
    <cfRule type="duplicateValues" dxfId="278" priority="1" stopIfTrue="1"/>
  </conditionalFormatting>
  <conditionalFormatting sqref="U85">
    <cfRule type="duplicateValues" dxfId="277" priority="54" stopIfTrue="1"/>
  </conditionalFormatting>
  <conditionalFormatting sqref="U87">
    <cfRule type="duplicateValues" dxfId="276" priority="80" stopIfTrue="1"/>
  </conditionalFormatting>
  <conditionalFormatting sqref="U88">
    <cfRule type="duplicateValues" dxfId="275" priority="67" stopIfTrue="1"/>
  </conditionalFormatting>
  <conditionalFormatting sqref="U89:U90">
    <cfRule type="duplicateValues" dxfId="274" priority="27" stopIfTrue="1"/>
  </conditionalFormatting>
  <conditionalFormatting sqref="U92">
    <cfRule type="duplicateValues" dxfId="273" priority="19" stopIfTrue="1"/>
  </conditionalFormatting>
  <conditionalFormatting sqref="U93">
    <cfRule type="duplicateValues" dxfId="272" priority="93" stopIfTrue="1"/>
  </conditionalFormatting>
  <conditionalFormatting sqref="U95">
    <cfRule type="duplicateValues" dxfId="271" priority="84" stopIfTrue="1"/>
  </conditionalFormatting>
  <conditionalFormatting sqref="U96">
    <cfRule type="duplicateValues" dxfId="270" priority="83" stopIfTrue="1"/>
  </conditionalFormatting>
  <conditionalFormatting sqref="U97">
    <cfRule type="duplicateValues" dxfId="269" priority="76" stopIfTrue="1"/>
  </conditionalFormatting>
  <conditionalFormatting sqref="U98">
    <cfRule type="duplicateValues" dxfId="268" priority="64" stopIfTrue="1"/>
  </conditionalFormatting>
  <conditionalFormatting sqref="U99">
    <cfRule type="duplicateValues" dxfId="267" priority="63" stopIfTrue="1"/>
  </conditionalFormatting>
  <conditionalFormatting sqref="U100">
    <cfRule type="duplicateValues" dxfId="266" priority="61" stopIfTrue="1"/>
  </conditionalFormatting>
  <conditionalFormatting sqref="U101">
    <cfRule type="duplicateValues" dxfId="265" priority="57" stopIfTrue="1"/>
  </conditionalFormatting>
  <conditionalFormatting sqref="U103">
    <cfRule type="duplicateValues" dxfId="264" priority="62" stopIfTrue="1"/>
  </conditionalFormatting>
  <conditionalFormatting sqref="U107">
    <cfRule type="duplicateValues" dxfId="263" priority="51" stopIfTrue="1"/>
  </conditionalFormatting>
  <hyperlinks>
    <hyperlink ref="B72" location="'Building energy retrofit'!A1" display="Building Energy Retrofit"/>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5"/>
  <sheetViews>
    <sheetView topLeftCell="A34" zoomScaleNormal="100" workbookViewId="0">
      <selection activeCell="A64" sqref="A64:B64"/>
    </sheetView>
  </sheetViews>
  <sheetFormatPr defaultColWidth="8.703125" defaultRowHeight="12.7" x14ac:dyDescent="0.4"/>
  <cols>
    <col min="1" max="1" width="15.29296875" style="1" customWidth="1"/>
    <col min="2" max="2" width="17.41015625" style="1" customWidth="1"/>
    <col min="3" max="3" width="15.5859375" style="1" customWidth="1"/>
    <col min="4" max="4" width="30.5859375" style="1" customWidth="1"/>
    <col min="5" max="5" width="15.5859375" style="1" customWidth="1"/>
    <col min="6" max="6" width="30.5859375" style="1" customWidth="1"/>
    <col min="7" max="16384" width="8.703125" style="1"/>
  </cols>
  <sheetData>
    <row r="1" spans="1:22" s="9" customFormat="1" ht="38" x14ac:dyDescent="0.4">
      <c r="C1" s="16" t="s">
        <v>162</v>
      </c>
      <c r="D1" s="16" t="s">
        <v>0</v>
      </c>
      <c r="E1" s="16" t="s">
        <v>161</v>
      </c>
      <c r="F1" s="16" t="s">
        <v>1</v>
      </c>
      <c r="G1" s="16" t="s">
        <v>255</v>
      </c>
      <c r="H1" s="16" t="s">
        <v>163</v>
      </c>
      <c r="I1" s="16" t="s">
        <v>254</v>
      </c>
      <c r="J1" s="16" t="s">
        <v>164</v>
      </c>
      <c r="K1" s="16" t="s">
        <v>256</v>
      </c>
      <c r="L1" s="16" t="s">
        <v>257</v>
      </c>
      <c r="M1" s="16" t="s">
        <v>258</v>
      </c>
      <c r="N1" s="16" t="s">
        <v>259</v>
      </c>
      <c r="O1" s="16" t="s">
        <v>2</v>
      </c>
      <c r="P1" s="16" t="s">
        <v>3</v>
      </c>
      <c r="Q1" s="16" t="s">
        <v>4</v>
      </c>
      <c r="R1" s="16" t="s">
        <v>5</v>
      </c>
      <c r="S1" s="16" t="s">
        <v>6</v>
      </c>
      <c r="T1" s="16" t="s">
        <v>7</v>
      </c>
      <c r="U1" s="16" t="s">
        <v>8</v>
      </c>
      <c r="V1" s="16" t="s">
        <v>9</v>
      </c>
    </row>
    <row r="2" spans="1:22" ht="13.7" x14ac:dyDescent="0.4">
      <c r="A2" s="2" t="s">
        <v>101</v>
      </c>
      <c r="B2" s="17" t="s">
        <v>102</v>
      </c>
      <c r="E2" s="2"/>
      <c r="F2" s="17"/>
    </row>
    <row r="3" spans="1:22" x14ac:dyDescent="0.4">
      <c r="C3" s="1" t="s">
        <v>505</v>
      </c>
      <c r="D3" s="1" t="s">
        <v>506</v>
      </c>
      <c r="E3" s="1" t="s">
        <v>507</v>
      </c>
      <c r="F3" s="1" t="s">
        <v>12</v>
      </c>
      <c r="G3" s="1" t="s">
        <v>262</v>
      </c>
      <c r="H3" s="1" t="s">
        <v>508</v>
      </c>
      <c r="I3" s="1" t="s">
        <v>509</v>
      </c>
      <c r="J3" s="1" t="s">
        <v>510</v>
      </c>
      <c r="K3" s="1" t="s">
        <v>511</v>
      </c>
      <c r="L3" s="1" t="s">
        <v>512</v>
      </c>
      <c r="M3" s="1" t="s">
        <v>513</v>
      </c>
      <c r="N3" s="1" t="s">
        <v>514</v>
      </c>
      <c r="O3" s="1" t="s">
        <v>21</v>
      </c>
      <c r="P3" s="1">
        <v>2024</v>
      </c>
      <c r="Q3" s="1">
        <v>17</v>
      </c>
      <c r="R3" s="1">
        <v>5</v>
      </c>
      <c r="S3" s="1">
        <v>739</v>
      </c>
      <c r="T3" s="1">
        <v>770</v>
      </c>
      <c r="U3" s="1" t="s">
        <v>515</v>
      </c>
      <c r="V3" s="1" t="str">
        <f>HYPERLINK("http://dx.doi.org/10.1007/s12273-024-1109-6","http://dx.doi.org/10.1007/s12273-024-1109-6")</f>
        <v>http://dx.doi.org/10.1007/s12273-024-1109-6</v>
      </c>
    </row>
    <row r="4" spans="1:22" ht="13.7" x14ac:dyDescent="0.4">
      <c r="A4" s="2"/>
      <c r="B4" s="2"/>
      <c r="C4" s="1" t="s">
        <v>714</v>
      </c>
      <c r="D4" s="1" t="s">
        <v>715</v>
      </c>
      <c r="E4" s="1" t="s">
        <v>716</v>
      </c>
      <c r="F4" s="1" t="s">
        <v>12</v>
      </c>
      <c r="G4" s="1" t="s">
        <v>262</v>
      </c>
      <c r="H4" s="1" t="s">
        <v>717</v>
      </c>
      <c r="I4" s="1" t="s">
        <v>718</v>
      </c>
      <c r="J4" s="1" t="s">
        <v>719</v>
      </c>
      <c r="K4" s="1" t="s">
        <v>720</v>
      </c>
      <c r="L4" s="1" t="s">
        <v>11</v>
      </c>
      <c r="M4" s="1" t="s">
        <v>721</v>
      </c>
      <c r="N4" s="1" t="s">
        <v>722</v>
      </c>
      <c r="O4" s="1" t="s">
        <v>20</v>
      </c>
      <c r="P4" s="1">
        <v>2024</v>
      </c>
      <c r="Q4" s="1">
        <v>17</v>
      </c>
      <c r="R4" s="1">
        <v>7</v>
      </c>
      <c r="S4" s="1">
        <v>1065</v>
      </c>
      <c r="T4" s="1">
        <v>1083</v>
      </c>
      <c r="U4" s="1" t="s">
        <v>723</v>
      </c>
      <c r="V4" s="1" t="str">
        <f>HYPERLINK("http://dx.doi.org/10.1007/s12273-024-1121-x","http://dx.doi.org/10.1007/s12273-024-1121-x")</f>
        <v>http://dx.doi.org/10.1007/s12273-024-1121-x</v>
      </c>
    </row>
    <row r="5" spans="1:22" x14ac:dyDescent="0.4">
      <c r="C5" s="1" t="s">
        <v>2240</v>
      </c>
      <c r="D5" s="1" t="s">
        <v>2241</v>
      </c>
      <c r="E5" s="1" t="s">
        <v>2242</v>
      </c>
      <c r="F5" s="1" t="s">
        <v>12</v>
      </c>
      <c r="G5" s="1" t="s">
        <v>262</v>
      </c>
      <c r="H5" s="1" t="s">
        <v>2243</v>
      </c>
      <c r="I5" s="1" t="s">
        <v>2244</v>
      </c>
      <c r="J5" s="1" t="s">
        <v>2245</v>
      </c>
      <c r="K5" s="1" t="s">
        <v>2246</v>
      </c>
      <c r="L5" s="1" t="s">
        <v>2247</v>
      </c>
      <c r="M5" s="1" t="s">
        <v>2248</v>
      </c>
      <c r="N5" s="1" t="s">
        <v>2249</v>
      </c>
      <c r="O5" s="1" t="s">
        <v>16</v>
      </c>
      <c r="P5" s="1">
        <v>2025</v>
      </c>
      <c r="Q5" s="1">
        <v>18</v>
      </c>
      <c r="R5" s="1">
        <v>9</v>
      </c>
      <c r="S5" s="1">
        <v>2323</v>
      </c>
      <c r="T5" s="1">
        <v>2344</v>
      </c>
      <c r="U5" s="1" t="s">
        <v>2250</v>
      </c>
      <c r="V5" s="1" t="str">
        <f>HYPERLINK("http://dx.doi.org/10.1007/s12273-025-1322-y","http://dx.doi.org/10.1007/s12273-025-1322-y")</f>
        <v>http://dx.doi.org/10.1007/s12273-025-1322-y</v>
      </c>
    </row>
    <row r="6" spans="1:22" x14ac:dyDescent="0.4">
      <c r="C6" s="1" t="s">
        <v>2301</v>
      </c>
      <c r="D6" s="1" t="s">
        <v>2302</v>
      </c>
      <c r="E6" s="1" t="s">
        <v>2303</v>
      </c>
      <c r="F6" s="1" t="s">
        <v>12</v>
      </c>
      <c r="G6" s="1" t="s">
        <v>262</v>
      </c>
      <c r="H6" s="1" t="s">
        <v>2304</v>
      </c>
      <c r="I6" s="1" t="s">
        <v>2305</v>
      </c>
      <c r="J6" s="1" t="s">
        <v>2306</v>
      </c>
      <c r="K6" s="1" t="s">
        <v>2307</v>
      </c>
      <c r="L6" s="1" t="s">
        <v>2308</v>
      </c>
      <c r="M6" s="1" t="s">
        <v>2309</v>
      </c>
      <c r="N6" s="1" t="s">
        <v>2310</v>
      </c>
      <c r="O6" s="1" t="s">
        <v>16</v>
      </c>
      <c r="P6" s="1">
        <v>2025</v>
      </c>
      <c r="Q6" s="1">
        <v>18</v>
      </c>
      <c r="R6" s="1">
        <v>9</v>
      </c>
      <c r="S6" s="1">
        <v>2365</v>
      </c>
      <c r="T6" s="1">
        <v>2380</v>
      </c>
      <c r="U6" s="1" t="s">
        <v>2311</v>
      </c>
      <c r="V6" s="1" t="str">
        <f>HYPERLINK("http://dx.doi.org/10.1007/s12273-025-1328-5","http://dx.doi.org/10.1007/s12273-025-1328-5")</f>
        <v>http://dx.doi.org/10.1007/s12273-025-1328-5</v>
      </c>
    </row>
    <row r="7" spans="1:22" x14ac:dyDescent="0.4">
      <c r="C7" s="1" t="s">
        <v>3326</v>
      </c>
      <c r="D7" s="1" t="s">
        <v>3327</v>
      </c>
      <c r="E7" s="1" t="s">
        <v>3328</v>
      </c>
      <c r="F7" s="1" t="s">
        <v>12</v>
      </c>
      <c r="G7" s="1" t="s">
        <v>262</v>
      </c>
      <c r="H7" s="1" t="s">
        <v>3329</v>
      </c>
      <c r="I7" s="1" t="s">
        <v>3330</v>
      </c>
      <c r="J7" s="1" t="s">
        <v>3331</v>
      </c>
      <c r="K7" s="1" t="s">
        <v>3332</v>
      </c>
      <c r="L7" s="1" t="s">
        <v>3333</v>
      </c>
      <c r="M7" s="1" t="s">
        <v>745</v>
      </c>
      <c r="N7" s="1" t="s">
        <v>746</v>
      </c>
      <c r="O7" s="1" t="s">
        <v>25</v>
      </c>
      <c r="P7" s="1">
        <v>2025</v>
      </c>
      <c r="Q7" s="1">
        <v>18</v>
      </c>
      <c r="R7" s="1">
        <v>3</v>
      </c>
      <c r="S7" s="1">
        <v>531</v>
      </c>
      <c r="T7" s="1">
        <v>546</v>
      </c>
      <c r="U7" s="1" t="s">
        <v>3334</v>
      </c>
      <c r="V7" s="1" t="str">
        <f>HYPERLINK("http://dx.doi.org/10.1007/s12273-024-1222-6","http://dx.doi.org/10.1007/s12273-024-1222-6")</f>
        <v>http://dx.doi.org/10.1007/s12273-024-1222-6</v>
      </c>
    </row>
    <row r="8" spans="1:22" x14ac:dyDescent="0.4">
      <c r="A8" s="10"/>
      <c r="B8" s="10"/>
    </row>
    <row r="9" spans="1:22" ht="13.7" x14ac:dyDescent="0.4">
      <c r="A9" s="2" t="s">
        <v>103</v>
      </c>
      <c r="B9" s="17" t="s">
        <v>104</v>
      </c>
      <c r="E9" s="2"/>
      <c r="F9" s="17"/>
    </row>
    <row r="10" spans="1:22" ht="13.7" x14ac:dyDescent="0.5">
      <c r="A10" s="4"/>
      <c r="B10" s="4"/>
    </row>
    <row r="11" spans="1:22" ht="13.7" x14ac:dyDescent="0.5">
      <c r="A11" s="4"/>
      <c r="B11" s="4"/>
      <c r="C11" s="1" t="s">
        <v>335</v>
      </c>
      <c r="D11" s="1" t="s">
        <v>336</v>
      </c>
      <c r="E11" s="1" t="s">
        <v>337</v>
      </c>
      <c r="F11" s="1" t="s">
        <v>12</v>
      </c>
      <c r="G11" s="1" t="s">
        <v>262</v>
      </c>
      <c r="H11" s="1" t="s">
        <v>338</v>
      </c>
      <c r="I11" s="1" t="s">
        <v>11</v>
      </c>
      <c r="J11" s="1" t="s">
        <v>339</v>
      </c>
      <c r="K11" s="1" t="s">
        <v>340</v>
      </c>
      <c r="L11" s="1" t="s">
        <v>341</v>
      </c>
      <c r="M11" s="1" t="s">
        <v>342</v>
      </c>
      <c r="N11" s="1" t="s">
        <v>343</v>
      </c>
      <c r="O11" s="1" t="s">
        <v>25</v>
      </c>
      <c r="P11" s="1">
        <v>2024</v>
      </c>
      <c r="Q11" s="1">
        <v>17</v>
      </c>
      <c r="R11" s="1">
        <v>3</v>
      </c>
      <c r="S11" s="1">
        <v>371</v>
      </c>
      <c r="T11" s="1">
        <v>386</v>
      </c>
      <c r="U11" s="1" t="s">
        <v>344</v>
      </c>
      <c r="V11" s="1" t="str">
        <f>HYPERLINK("http://dx.doi.org/10.1007/s12273-023-1086-1","http://dx.doi.org/10.1007/s12273-023-1086-1")</f>
        <v>http://dx.doi.org/10.1007/s12273-023-1086-1</v>
      </c>
    </row>
    <row r="12" spans="1:22" ht="13.7" x14ac:dyDescent="0.5">
      <c r="A12" s="4"/>
      <c r="B12" s="4"/>
      <c r="C12" s="1" t="s">
        <v>647</v>
      </c>
      <c r="D12" s="1" t="s">
        <v>648</v>
      </c>
      <c r="E12" s="1" t="s">
        <v>649</v>
      </c>
      <c r="F12" s="1" t="s">
        <v>12</v>
      </c>
      <c r="G12" s="1" t="s">
        <v>262</v>
      </c>
      <c r="H12" s="1" t="s">
        <v>650</v>
      </c>
      <c r="I12" s="1" t="s">
        <v>11</v>
      </c>
      <c r="J12" s="1" t="s">
        <v>651</v>
      </c>
      <c r="K12" s="1" t="s">
        <v>652</v>
      </c>
      <c r="L12" s="1" t="s">
        <v>653</v>
      </c>
      <c r="M12" s="1" t="s">
        <v>654</v>
      </c>
      <c r="N12" s="1" t="s">
        <v>655</v>
      </c>
      <c r="O12" s="1" t="s">
        <v>22</v>
      </c>
      <c r="P12" s="1">
        <v>2024</v>
      </c>
      <c r="Q12" s="1">
        <v>17</v>
      </c>
      <c r="R12" s="1">
        <v>6</v>
      </c>
      <c r="S12" s="1">
        <v>965</v>
      </c>
      <c r="T12" s="1">
        <v>981</v>
      </c>
      <c r="U12" s="1" t="s">
        <v>656</v>
      </c>
      <c r="V12" s="1" t="str">
        <f>HYPERLINK("http://dx.doi.org/10.1007/s12273-024-1124-7","http://dx.doi.org/10.1007/s12273-024-1124-7")</f>
        <v>http://dx.doi.org/10.1007/s12273-024-1124-7</v>
      </c>
    </row>
    <row r="13" spans="1:22" x14ac:dyDescent="0.4">
      <c r="A13" s="10"/>
      <c r="B13" s="10"/>
      <c r="C13" s="1" t="s">
        <v>737</v>
      </c>
      <c r="D13" s="1" t="s">
        <v>738</v>
      </c>
      <c r="E13" s="1" t="s">
        <v>739</v>
      </c>
      <c r="F13" s="1" t="s">
        <v>12</v>
      </c>
      <c r="G13" s="1" t="s">
        <v>262</v>
      </c>
      <c r="H13" s="1" t="s">
        <v>740</v>
      </c>
      <c r="I13" s="1" t="s">
        <v>741</v>
      </c>
      <c r="J13" s="1" t="s">
        <v>742</v>
      </c>
      <c r="K13" s="1" t="s">
        <v>743</v>
      </c>
      <c r="L13" s="1" t="s">
        <v>744</v>
      </c>
      <c r="M13" s="1" t="s">
        <v>745</v>
      </c>
      <c r="N13" s="1" t="s">
        <v>746</v>
      </c>
      <c r="O13" s="1" t="s">
        <v>20</v>
      </c>
      <c r="P13" s="1">
        <v>2024</v>
      </c>
      <c r="Q13" s="1">
        <v>17</v>
      </c>
      <c r="R13" s="1">
        <v>7</v>
      </c>
      <c r="S13" s="1">
        <v>1113</v>
      </c>
      <c r="T13" s="1">
        <v>1136</v>
      </c>
      <c r="U13" s="1" t="s">
        <v>747</v>
      </c>
      <c r="V13" s="1" t="str">
        <f>HYPERLINK("http://dx.doi.org/10.1007/s12273-024-1125-6","http://dx.doi.org/10.1007/s12273-024-1125-6")</f>
        <v>http://dx.doi.org/10.1007/s12273-024-1125-6</v>
      </c>
    </row>
    <row r="14" spans="1:22" x14ac:dyDescent="0.4">
      <c r="C14" s="1" t="s">
        <v>1598</v>
      </c>
      <c r="D14" s="1" t="s">
        <v>1599</v>
      </c>
      <c r="E14" s="1" t="s">
        <v>1600</v>
      </c>
      <c r="F14" s="1" t="s">
        <v>12</v>
      </c>
      <c r="G14" s="1" t="s">
        <v>1753</v>
      </c>
      <c r="H14" s="1" t="s">
        <v>1601</v>
      </c>
      <c r="I14" s="1" t="s">
        <v>1602</v>
      </c>
      <c r="J14" s="1" t="s">
        <v>1603</v>
      </c>
      <c r="K14" s="1" t="s">
        <v>1604</v>
      </c>
      <c r="L14" s="1" t="s">
        <v>1605</v>
      </c>
      <c r="M14" s="1" t="s">
        <v>1606</v>
      </c>
      <c r="N14" s="1" t="s">
        <v>1607</v>
      </c>
      <c r="O14" s="1" t="s">
        <v>1754</v>
      </c>
      <c r="P14" s="1">
        <v>2025</v>
      </c>
      <c r="Q14" s="1">
        <v>18</v>
      </c>
      <c r="R14" s="1">
        <v>1</v>
      </c>
      <c r="S14" s="1">
        <v>141</v>
      </c>
      <c r="T14" s="1">
        <v>159</v>
      </c>
      <c r="U14" s="1" t="s">
        <v>1608</v>
      </c>
      <c r="V14" s="1" t="str">
        <f>HYPERLINK("http://dx.doi.org/10.1007/s12273-024-1199-1","http://dx.doi.org/10.1007/s12273-024-1199-1")</f>
        <v>http://dx.doi.org/10.1007/s12273-024-1199-1</v>
      </c>
    </row>
    <row r="15" spans="1:22" x14ac:dyDescent="0.4">
      <c r="C15" s="1" t="s">
        <v>2348</v>
      </c>
      <c r="D15" s="1" t="s">
        <v>2349</v>
      </c>
      <c r="E15" s="1" t="s">
        <v>2350</v>
      </c>
      <c r="F15" s="1" t="s">
        <v>12</v>
      </c>
      <c r="G15" s="1" t="s">
        <v>262</v>
      </c>
      <c r="H15" s="1" t="s">
        <v>2351</v>
      </c>
      <c r="I15" s="1" t="s">
        <v>2352</v>
      </c>
      <c r="J15" s="1" t="s">
        <v>2353</v>
      </c>
      <c r="K15" s="1" t="s">
        <v>2354</v>
      </c>
      <c r="L15" s="1" t="s">
        <v>2355</v>
      </c>
      <c r="M15" s="1" t="s">
        <v>2356</v>
      </c>
      <c r="N15" s="1" t="s">
        <v>2357</v>
      </c>
      <c r="O15" s="1" t="s">
        <v>19</v>
      </c>
      <c r="P15" s="1">
        <v>2025</v>
      </c>
      <c r="Q15" s="1">
        <v>18</v>
      </c>
      <c r="R15" s="1">
        <v>8</v>
      </c>
      <c r="S15" s="1">
        <v>2151</v>
      </c>
      <c r="T15" s="1">
        <v>2174</v>
      </c>
      <c r="U15" s="1" t="s">
        <v>2358</v>
      </c>
      <c r="V15" s="1" t="str">
        <f>HYPERLINK("http://dx.doi.org/10.1007/s12273-025-1298-7","http://dx.doi.org/10.1007/s12273-025-1298-7")</f>
        <v>http://dx.doi.org/10.1007/s12273-025-1298-7</v>
      </c>
    </row>
    <row r="16" spans="1:22" x14ac:dyDescent="0.4">
      <c r="C16" s="1" t="s">
        <v>2383</v>
      </c>
      <c r="D16" s="1" t="s">
        <v>2384</v>
      </c>
      <c r="E16" s="1" t="s">
        <v>2385</v>
      </c>
      <c r="F16" s="1" t="s">
        <v>12</v>
      </c>
      <c r="G16" s="1" t="s">
        <v>262</v>
      </c>
      <c r="H16" s="1" t="s">
        <v>2386</v>
      </c>
      <c r="I16" s="1" t="s">
        <v>2387</v>
      </c>
      <c r="J16" s="1" t="s">
        <v>2388</v>
      </c>
      <c r="K16" s="1" t="s">
        <v>2389</v>
      </c>
      <c r="L16" s="1" t="s">
        <v>2390</v>
      </c>
      <c r="M16" s="1" t="s">
        <v>2391</v>
      </c>
      <c r="N16" s="1" t="s">
        <v>2392</v>
      </c>
      <c r="O16" s="1" t="s">
        <v>16</v>
      </c>
      <c r="P16" s="1">
        <v>2025</v>
      </c>
      <c r="Q16" s="1">
        <v>18</v>
      </c>
      <c r="R16" s="1">
        <v>9</v>
      </c>
      <c r="S16" s="1">
        <v>2345</v>
      </c>
      <c r="T16" s="1">
        <v>2364</v>
      </c>
      <c r="U16" s="1" t="s">
        <v>2393</v>
      </c>
      <c r="V16" s="1" t="str">
        <f>HYPERLINK("http://dx.doi.org/10.1007/s12273-025-1327-6","http://dx.doi.org/10.1007/s12273-025-1327-6")</f>
        <v>http://dx.doi.org/10.1007/s12273-025-1327-6</v>
      </c>
    </row>
    <row r="17" spans="1:22" x14ac:dyDescent="0.4">
      <c r="C17" s="1" t="s">
        <v>2700</v>
      </c>
      <c r="D17" s="1" t="s">
        <v>2701</v>
      </c>
      <c r="E17" s="1" t="s">
        <v>2702</v>
      </c>
      <c r="F17" s="1" t="s">
        <v>12</v>
      </c>
      <c r="G17" s="1" t="s">
        <v>262</v>
      </c>
      <c r="H17" s="1" t="s">
        <v>2703</v>
      </c>
      <c r="I17" s="1" t="s">
        <v>2704</v>
      </c>
      <c r="J17" s="1" t="s">
        <v>2705</v>
      </c>
      <c r="K17" s="1" t="s">
        <v>2706</v>
      </c>
      <c r="L17" s="1" t="s">
        <v>266</v>
      </c>
      <c r="M17" s="1" t="s">
        <v>308</v>
      </c>
      <c r="N17" s="1" t="s">
        <v>309</v>
      </c>
      <c r="O17" s="1" t="s">
        <v>20</v>
      </c>
      <c r="P17" s="1">
        <v>2025</v>
      </c>
      <c r="Q17" s="1">
        <v>18</v>
      </c>
      <c r="R17" s="1">
        <v>7</v>
      </c>
      <c r="S17" s="1">
        <v>1659</v>
      </c>
      <c r="T17" s="1">
        <v>1676</v>
      </c>
      <c r="U17" s="1" t="s">
        <v>2707</v>
      </c>
      <c r="V17" s="1" t="str">
        <f>HYPERLINK("http://dx.doi.org/10.1007/s12273-025-1272-4","http://dx.doi.org/10.1007/s12273-025-1272-4")</f>
        <v>http://dx.doi.org/10.1007/s12273-025-1272-4</v>
      </c>
    </row>
    <row r="18" spans="1:22" x14ac:dyDescent="0.4">
      <c r="C18" s="1" t="s">
        <v>2840</v>
      </c>
      <c r="D18" s="1" t="s">
        <v>2841</v>
      </c>
      <c r="E18" s="1" t="s">
        <v>2842</v>
      </c>
      <c r="F18" s="1" t="s">
        <v>12</v>
      </c>
      <c r="G18" s="1" t="s">
        <v>262</v>
      </c>
      <c r="H18" s="1" t="s">
        <v>2843</v>
      </c>
      <c r="I18" s="1" t="s">
        <v>2844</v>
      </c>
      <c r="J18" s="1" t="s">
        <v>2845</v>
      </c>
      <c r="K18" s="1" t="s">
        <v>2846</v>
      </c>
      <c r="L18" s="1" t="s">
        <v>2847</v>
      </c>
      <c r="M18" s="1" t="s">
        <v>2848</v>
      </c>
      <c r="N18" s="1" t="s">
        <v>852</v>
      </c>
      <c r="O18" s="1" t="s">
        <v>21</v>
      </c>
      <c r="P18" s="1">
        <v>2025</v>
      </c>
      <c r="Q18" s="1">
        <v>18</v>
      </c>
      <c r="R18" s="1">
        <v>5</v>
      </c>
      <c r="S18" s="1">
        <v>1205</v>
      </c>
      <c r="T18" s="1">
        <v>1228</v>
      </c>
      <c r="U18" s="1" t="s">
        <v>2849</v>
      </c>
      <c r="V18" s="1" t="str">
        <f>HYPERLINK("http://dx.doi.org/10.1007/s12273-025-1254-6","http://dx.doi.org/10.1007/s12273-025-1254-6")</f>
        <v>http://dx.doi.org/10.1007/s12273-025-1254-6</v>
      </c>
    </row>
    <row r="19" spans="1:22" x14ac:dyDescent="0.4">
      <c r="C19" s="1" t="s">
        <v>2917</v>
      </c>
      <c r="D19" s="1" t="s">
        <v>2918</v>
      </c>
      <c r="E19" s="1" t="s">
        <v>2919</v>
      </c>
      <c r="F19" s="1" t="s">
        <v>12</v>
      </c>
      <c r="G19" s="1" t="s">
        <v>262</v>
      </c>
      <c r="H19" s="1" t="s">
        <v>2920</v>
      </c>
      <c r="I19" s="1" t="s">
        <v>11</v>
      </c>
      <c r="J19" s="1" t="s">
        <v>2921</v>
      </c>
      <c r="K19" s="1" t="s">
        <v>2922</v>
      </c>
      <c r="L19" s="1" t="s">
        <v>2923</v>
      </c>
      <c r="M19" s="1" t="s">
        <v>2924</v>
      </c>
      <c r="N19" s="1" t="s">
        <v>2925</v>
      </c>
      <c r="O19" s="1" t="s">
        <v>22</v>
      </c>
      <c r="P19" s="1">
        <v>2025</v>
      </c>
      <c r="Q19" s="1">
        <v>18</v>
      </c>
      <c r="R19" s="1">
        <v>6</v>
      </c>
      <c r="S19" s="1">
        <v>1377</v>
      </c>
      <c r="T19" s="1">
        <v>1392</v>
      </c>
      <c r="U19" s="1" t="s">
        <v>2926</v>
      </c>
      <c r="V19" s="1" t="str">
        <f>HYPERLINK("http://dx.doi.org/10.1007/s12273-025-1271-5","http://dx.doi.org/10.1007/s12273-025-1271-5")</f>
        <v>http://dx.doi.org/10.1007/s12273-025-1271-5</v>
      </c>
    </row>
    <row r="20" spans="1:22" x14ac:dyDescent="0.4">
      <c r="C20" s="1" t="s">
        <v>1598</v>
      </c>
      <c r="D20" s="1" t="s">
        <v>1599</v>
      </c>
      <c r="E20" s="1" t="s">
        <v>1600</v>
      </c>
      <c r="F20" s="1" t="s">
        <v>12</v>
      </c>
      <c r="G20" s="1" t="s">
        <v>262</v>
      </c>
      <c r="H20" s="1" t="s">
        <v>1601</v>
      </c>
      <c r="I20" s="1" t="s">
        <v>1602</v>
      </c>
      <c r="J20" s="1" t="s">
        <v>1603</v>
      </c>
      <c r="K20" s="1" t="s">
        <v>1604</v>
      </c>
      <c r="L20" s="1" t="s">
        <v>1605</v>
      </c>
      <c r="M20" s="1" t="s">
        <v>1606</v>
      </c>
      <c r="N20" s="1" t="s">
        <v>1607</v>
      </c>
      <c r="O20" s="1" t="s">
        <v>24</v>
      </c>
      <c r="P20" s="1">
        <v>2025</v>
      </c>
      <c r="Q20" s="1">
        <v>18</v>
      </c>
      <c r="R20" s="1">
        <v>1</v>
      </c>
      <c r="S20" s="1">
        <v>141</v>
      </c>
      <c r="T20" s="1">
        <v>159</v>
      </c>
      <c r="U20" s="1" t="s">
        <v>1608</v>
      </c>
      <c r="V20" s="1" t="str">
        <f>HYPERLINK("http://dx.doi.org/10.1007/s12273-024-1199-1","http://dx.doi.org/10.1007/s12273-024-1199-1")</f>
        <v>http://dx.doi.org/10.1007/s12273-024-1199-1</v>
      </c>
    </row>
    <row r="22" spans="1:22" ht="13.7" x14ac:dyDescent="0.5">
      <c r="A22" s="4" t="s">
        <v>105</v>
      </c>
      <c r="B22" s="10" t="s">
        <v>106</v>
      </c>
      <c r="E22" s="4"/>
      <c r="F22" s="10"/>
    </row>
    <row r="23" spans="1:22" x14ac:dyDescent="0.4">
      <c r="C23" s="1" t="s">
        <v>1503</v>
      </c>
      <c r="D23" s="1" t="s">
        <v>1504</v>
      </c>
      <c r="E23" s="1" t="s">
        <v>1505</v>
      </c>
      <c r="F23" s="1" t="s">
        <v>12</v>
      </c>
      <c r="G23" s="1" t="s">
        <v>262</v>
      </c>
      <c r="H23" s="1" t="s">
        <v>1506</v>
      </c>
      <c r="I23" s="1" t="s">
        <v>1507</v>
      </c>
      <c r="J23" s="1" t="s">
        <v>1508</v>
      </c>
      <c r="K23" s="1" t="s">
        <v>1509</v>
      </c>
      <c r="L23" s="1" t="s">
        <v>1510</v>
      </c>
      <c r="M23" s="1" t="s">
        <v>1511</v>
      </c>
      <c r="N23" s="1" t="s">
        <v>1512</v>
      </c>
      <c r="O23" s="1" t="s">
        <v>27</v>
      </c>
      <c r="P23" s="1">
        <v>2024</v>
      </c>
      <c r="Q23" s="1">
        <v>17</v>
      </c>
      <c r="R23" s="1">
        <v>12</v>
      </c>
      <c r="S23" s="1">
        <v>2355</v>
      </c>
      <c r="T23" s="1">
        <v>2372</v>
      </c>
      <c r="U23" s="1" t="s">
        <v>1513</v>
      </c>
      <c r="V23" s="1" t="str">
        <f>HYPERLINK("http://dx.doi.org/10.1007/s12273-024-1192-8","http://dx.doi.org/10.1007/s12273-024-1192-8")</f>
        <v>http://dx.doi.org/10.1007/s12273-024-1192-8</v>
      </c>
    </row>
    <row r="24" spans="1:22" x14ac:dyDescent="0.4">
      <c r="C24" s="1" t="s">
        <v>1515</v>
      </c>
      <c r="D24" s="1" t="s">
        <v>1516</v>
      </c>
      <c r="E24" s="1" t="s">
        <v>1517</v>
      </c>
      <c r="F24" s="1" t="s">
        <v>12</v>
      </c>
      <c r="G24" s="1" t="s">
        <v>1080</v>
      </c>
      <c r="H24" s="1" t="s">
        <v>1518</v>
      </c>
      <c r="I24" s="1" t="s">
        <v>1519</v>
      </c>
      <c r="J24" s="1" t="s">
        <v>1520</v>
      </c>
      <c r="K24" s="1" t="s">
        <v>1521</v>
      </c>
      <c r="L24" s="1" t="s">
        <v>295</v>
      </c>
      <c r="M24" s="1" t="s">
        <v>1522</v>
      </c>
      <c r="N24" s="1" t="s">
        <v>1523</v>
      </c>
      <c r="O24" s="1" t="s">
        <v>1524</v>
      </c>
      <c r="P24" s="1">
        <v>2025</v>
      </c>
      <c r="Q24" s="1">
        <v>18</v>
      </c>
      <c r="R24" s="1">
        <v>1</v>
      </c>
      <c r="S24" s="1">
        <v>3</v>
      </c>
      <c r="T24" s="1">
        <v>18</v>
      </c>
      <c r="U24" s="1" t="s">
        <v>1525</v>
      </c>
      <c r="V24" s="1" t="str">
        <f>HYPERLINK("http://dx.doi.org/10.1007/s12273-024-1214-6","http://dx.doi.org/10.1007/s12273-024-1214-6")</f>
        <v>http://dx.doi.org/10.1007/s12273-024-1214-6</v>
      </c>
    </row>
    <row r="25" spans="1:22" x14ac:dyDescent="0.4">
      <c r="C25" s="1" t="s">
        <v>2111</v>
      </c>
      <c r="D25" s="1" t="s">
        <v>2112</v>
      </c>
      <c r="E25" s="1" t="s">
        <v>2113</v>
      </c>
      <c r="F25" s="1" t="s">
        <v>12</v>
      </c>
      <c r="G25" s="1" t="s">
        <v>262</v>
      </c>
      <c r="H25" s="1" t="s">
        <v>2114</v>
      </c>
      <c r="I25" s="1" t="s">
        <v>2115</v>
      </c>
      <c r="J25" s="1" t="s">
        <v>2116</v>
      </c>
      <c r="K25" s="1" t="s">
        <v>2117</v>
      </c>
      <c r="L25" s="1" t="s">
        <v>2118</v>
      </c>
      <c r="M25" s="1" t="s">
        <v>2119</v>
      </c>
      <c r="N25" s="1" t="s">
        <v>302</v>
      </c>
      <c r="O25" s="1" t="s">
        <v>15</v>
      </c>
      <c r="P25" s="1">
        <v>2025</v>
      </c>
      <c r="Q25" s="1">
        <v>18</v>
      </c>
      <c r="R25" s="1">
        <v>10</v>
      </c>
      <c r="S25" s="1">
        <v>2559</v>
      </c>
      <c r="T25" s="1">
        <v>2576</v>
      </c>
      <c r="U25" s="1" t="s">
        <v>2120</v>
      </c>
      <c r="V25" s="1" t="str">
        <f>HYPERLINK("http://dx.doi.org/10.1007/s12273-025-1331-x","http://dx.doi.org/10.1007/s12273-025-1331-x")</f>
        <v>http://dx.doi.org/10.1007/s12273-025-1331-x</v>
      </c>
    </row>
    <row r="26" spans="1:22" x14ac:dyDescent="0.4">
      <c r="C26" s="1" t="s">
        <v>2348</v>
      </c>
      <c r="D26" s="1" t="s">
        <v>2349</v>
      </c>
      <c r="E26" s="1" t="s">
        <v>2350</v>
      </c>
      <c r="F26" s="1" t="s">
        <v>12</v>
      </c>
      <c r="G26" s="1" t="s">
        <v>262</v>
      </c>
      <c r="H26" s="1" t="s">
        <v>2351</v>
      </c>
      <c r="I26" s="1" t="s">
        <v>2352</v>
      </c>
      <c r="J26" s="1" t="s">
        <v>2353</v>
      </c>
      <c r="K26" s="1" t="s">
        <v>2354</v>
      </c>
      <c r="L26" s="1" t="s">
        <v>2355</v>
      </c>
      <c r="M26" s="1" t="s">
        <v>2356</v>
      </c>
      <c r="N26" s="1" t="s">
        <v>2357</v>
      </c>
      <c r="O26" s="1" t="s">
        <v>19</v>
      </c>
      <c r="P26" s="1">
        <v>2025</v>
      </c>
      <c r="Q26" s="1">
        <v>18</v>
      </c>
      <c r="R26" s="1">
        <v>8</v>
      </c>
      <c r="S26" s="1">
        <v>2151</v>
      </c>
      <c r="T26" s="1">
        <v>2174</v>
      </c>
      <c r="U26" s="1" t="s">
        <v>2358</v>
      </c>
      <c r="V26" s="1" t="str">
        <f>HYPERLINK("http://dx.doi.org/10.1007/s12273-025-1298-7","http://dx.doi.org/10.1007/s12273-025-1298-7")</f>
        <v>http://dx.doi.org/10.1007/s12273-025-1298-7</v>
      </c>
    </row>
    <row r="27" spans="1:22" x14ac:dyDescent="0.4">
      <c r="C27" s="1" t="s">
        <v>3100</v>
      </c>
      <c r="D27" s="1" t="s">
        <v>3101</v>
      </c>
      <c r="E27" s="1" t="s">
        <v>3102</v>
      </c>
      <c r="F27" s="1" t="s">
        <v>12</v>
      </c>
      <c r="G27" s="1" t="s">
        <v>262</v>
      </c>
      <c r="H27" s="1" t="s">
        <v>3103</v>
      </c>
      <c r="I27" s="1" t="s">
        <v>3104</v>
      </c>
      <c r="J27" s="1" t="s">
        <v>3105</v>
      </c>
      <c r="K27" s="1" t="s">
        <v>3106</v>
      </c>
      <c r="L27" s="1" t="s">
        <v>3107</v>
      </c>
      <c r="M27" s="1" t="s">
        <v>3108</v>
      </c>
      <c r="N27" s="1" t="s">
        <v>3109</v>
      </c>
      <c r="O27" s="1" t="s">
        <v>21</v>
      </c>
      <c r="P27" s="1">
        <v>2025</v>
      </c>
      <c r="Q27" s="1">
        <v>18</v>
      </c>
      <c r="R27" s="1">
        <v>5</v>
      </c>
      <c r="S27" s="1">
        <v>1103</v>
      </c>
      <c r="T27" s="1">
        <v>1119</v>
      </c>
      <c r="U27" s="1" t="s">
        <v>3110</v>
      </c>
      <c r="V27" s="1" t="str">
        <f>HYPERLINK("http://dx.doi.org/10.1007/s12273-025-1257-3","http://dx.doi.org/10.1007/s12273-025-1257-3")</f>
        <v>http://dx.doi.org/10.1007/s12273-025-1257-3</v>
      </c>
    </row>
    <row r="29" spans="1:22" ht="13.7" x14ac:dyDescent="0.5">
      <c r="A29" s="4" t="s">
        <v>107</v>
      </c>
      <c r="B29" s="10" t="s">
        <v>108</v>
      </c>
      <c r="E29" s="4"/>
      <c r="F29" s="10"/>
    </row>
    <row r="30" spans="1:22" x14ac:dyDescent="0.4">
      <c r="C30" s="1" t="s">
        <v>1927</v>
      </c>
      <c r="D30" s="1" t="s">
        <v>1928</v>
      </c>
      <c r="E30" s="1" t="s">
        <v>1929</v>
      </c>
      <c r="F30" s="1" t="s">
        <v>12</v>
      </c>
      <c r="G30" s="1" t="s">
        <v>262</v>
      </c>
      <c r="H30" s="1" t="s">
        <v>1930</v>
      </c>
      <c r="I30" s="1" t="s">
        <v>1931</v>
      </c>
      <c r="J30" s="1" t="s">
        <v>1932</v>
      </c>
      <c r="K30" s="1" t="s">
        <v>1933</v>
      </c>
      <c r="L30" s="1" t="s">
        <v>1934</v>
      </c>
      <c r="M30" s="1" t="s">
        <v>1935</v>
      </c>
      <c r="N30" s="1" t="s">
        <v>1936</v>
      </c>
      <c r="O30" s="1" t="s">
        <v>14</v>
      </c>
      <c r="P30" s="1">
        <v>2025</v>
      </c>
      <c r="Q30" s="1">
        <v>18</v>
      </c>
      <c r="R30" s="1">
        <v>11</v>
      </c>
      <c r="S30" s="1">
        <v>3045</v>
      </c>
      <c r="T30" s="1">
        <v>3067</v>
      </c>
      <c r="U30" s="1" t="s">
        <v>1937</v>
      </c>
      <c r="V30" s="1" t="str">
        <f>HYPERLINK("http://dx.doi.org/10.1007/s12273-025-1373-0","http://dx.doi.org/10.1007/s12273-025-1373-0")</f>
        <v>http://dx.doi.org/10.1007/s12273-025-1373-0</v>
      </c>
    </row>
    <row r="31" spans="1:22" ht="13.7" x14ac:dyDescent="0.5">
      <c r="A31" s="4" t="s">
        <v>109</v>
      </c>
      <c r="B31" s="10" t="s">
        <v>110</v>
      </c>
      <c r="E31" s="4"/>
      <c r="F31" s="10"/>
    </row>
    <row r="32" spans="1:22" x14ac:dyDescent="0.4">
      <c r="C32" s="1" t="s">
        <v>505</v>
      </c>
      <c r="D32" s="1" t="s">
        <v>506</v>
      </c>
      <c r="E32" s="1" t="s">
        <v>507</v>
      </c>
      <c r="F32" s="1" t="s">
        <v>12</v>
      </c>
      <c r="G32" s="1" t="s">
        <v>262</v>
      </c>
      <c r="H32" s="1" t="s">
        <v>508</v>
      </c>
      <c r="I32" s="1" t="s">
        <v>509</v>
      </c>
      <c r="J32" s="1" t="s">
        <v>510</v>
      </c>
      <c r="K32" s="1" t="s">
        <v>511</v>
      </c>
      <c r="L32" s="1" t="s">
        <v>512</v>
      </c>
      <c r="M32" s="1" t="s">
        <v>513</v>
      </c>
      <c r="N32" s="1" t="s">
        <v>514</v>
      </c>
      <c r="O32" s="1" t="s">
        <v>21</v>
      </c>
      <c r="P32" s="1">
        <v>2024</v>
      </c>
      <c r="Q32" s="1">
        <v>17</v>
      </c>
      <c r="R32" s="1">
        <v>5</v>
      </c>
      <c r="S32" s="1">
        <v>739</v>
      </c>
      <c r="T32" s="1">
        <v>770</v>
      </c>
      <c r="U32" s="1" t="s">
        <v>515</v>
      </c>
      <c r="V32" s="1" t="str">
        <f>HYPERLINK("http://dx.doi.org/10.1007/s12273-024-1109-6","http://dx.doi.org/10.1007/s12273-024-1109-6")</f>
        <v>http://dx.doi.org/10.1007/s12273-024-1109-6</v>
      </c>
    </row>
    <row r="33" spans="1:22" x14ac:dyDescent="0.4">
      <c r="C33" s="1" t="s">
        <v>1634</v>
      </c>
      <c r="D33" s="1" t="s">
        <v>1635</v>
      </c>
      <c r="E33" s="1" t="s">
        <v>1636</v>
      </c>
      <c r="F33" s="1" t="s">
        <v>12</v>
      </c>
      <c r="G33" s="1" t="s">
        <v>1080</v>
      </c>
      <c r="H33" s="1" t="s">
        <v>1637</v>
      </c>
      <c r="I33" s="1" t="s">
        <v>1638</v>
      </c>
      <c r="J33" s="1" t="s">
        <v>1639</v>
      </c>
      <c r="K33" s="1" t="s">
        <v>1640</v>
      </c>
      <c r="L33" s="1" t="s">
        <v>1641</v>
      </c>
      <c r="M33" s="1" t="s">
        <v>1177</v>
      </c>
      <c r="N33" s="1" t="s">
        <v>1178</v>
      </c>
      <c r="O33" s="1" t="s">
        <v>1524</v>
      </c>
      <c r="P33" s="1">
        <v>2025</v>
      </c>
      <c r="Q33" s="1">
        <v>18</v>
      </c>
      <c r="R33" s="1">
        <v>1</v>
      </c>
      <c r="S33" s="1">
        <v>207</v>
      </c>
      <c r="T33" s="1">
        <v>223</v>
      </c>
      <c r="U33" s="1" t="s">
        <v>1642</v>
      </c>
      <c r="V33" s="1" t="str">
        <f>HYPERLINK("http://dx.doi.org/10.1007/s12273-024-1211-9","http://dx.doi.org/10.1007/s12273-024-1211-9")</f>
        <v>http://dx.doi.org/10.1007/s12273-024-1211-9</v>
      </c>
    </row>
    <row r="34" spans="1:22" x14ac:dyDescent="0.4">
      <c r="C34" s="1" t="s">
        <v>1808</v>
      </c>
      <c r="D34" s="1" t="s">
        <v>1809</v>
      </c>
      <c r="E34" s="1" t="s">
        <v>1810</v>
      </c>
      <c r="F34" s="1" t="s">
        <v>12</v>
      </c>
      <c r="G34" s="1" t="s">
        <v>262</v>
      </c>
      <c r="H34" s="1" t="s">
        <v>1811</v>
      </c>
      <c r="I34" s="1" t="s">
        <v>1812</v>
      </c>
      <c r="J34" s="1" t="s">
        <v>1813</v>
      </c>
      <c r="K34" s="1" t="s">
        <v>1814</v>
      </c>
      <c r="L34" s="1" t="s">
        <v>1815</v>
      </c>
      <c r="M34" s="1" t="s">
        <v>1816</v>
      </c>
      <c r="N34" s="1" t="s">
        <v>1817</v>
      </c>
      <c r="O34" s="1" t="s">
        <v>27</v>
      </c>
      <c r="P34" s="1">
        <v>2025</v>
      </c>
      <c r="Q34" s="1">
        <v>18</v>
      </c>
      <c r="R34" s="1">
        <v>12</v>
      </c>
      <c r="S34" s="1">
        <v>3317</v>
      </c>
      <c r="T34" s="1">
        <v>3335</v>
      </c>
      <c r="U34" s="1" t="s">
        <v>1818</v>
      </c>
      <c r="V34" s="1" t="str">
        <f>HYPERLINK("http://dx.doi.org/10.1007/s12273-025-1367-y","http://dx.doi.org/10.1007/s12273-025-1367-y")</f>
        <v>http://dx.doi.org/10.1007/s12273-025-1367-y</v>
      </c>
    </row>
    <row r="35" spans="1:22" ht="13.7" x14ac:dyDescent="0.4">
      <c r="A35" s="2"/>
      <c r="B35" s="2"/>
      <c r="C35" s="1" t="s">
        <v>305</v>
      </c>
      <c r="D35" s="1" t="s">
        <v>17</v>
      </c>
      <c r="E35" s="1" t="s">
        <v>2079</v>
      </c>
      <c r="F35" s="1" t="s">
        <v>12</v>
      </c>
      <c r="G35" s="1" t="s">
        <v>262</v>
      </c>
      <c r="H35" s="1" t="s">
        <v>2080</v>
      </c>
      <c r="I35" s="1" t="s">
        <v>2081</v>
      </c>
      <c r="J35" s="1" t="s">
        <v>2082</v>
      </c>
      <c r="K35" s="1" t="s">
        <v>2083</v>
      </c>
      <c r="L35" s="1" t="s">
        <v>2084</v>
      </c>
      <c r="M35" s="1" t="s">
        <v>306</v>
      </c>
      <c r="N35" s="1" t="s">
        <v>279</v>
      </c>
      <c r="O35" s="1" t="s">
        <v>14</v>
      </c>
      <c r="P35" s="1">
        <v>2025</v>
      </c>
      <c r="Q35" s="1">
        <v>18</v>
      </c>
      <c r="R35" s="1">
        <v>11</v>
      </c>
      <c r="S35" s="1">
        <v>3069</v>
      </c>
      <c r="T35" s="1">
        <v>3095</v>
      </c>
      <c r="U35" s="1" t="s">
        <v>2085</v>
      </c>
      <c r="V35" s="1" t="str">
        <f>HYPERLINK("http://dx.doi.org/10.1007/s12273-025-1346-3","http://dx.doi.org/10.1007/s12273-025-1346-3")</f>
        <v>http://dx.doi.org/10.1007/s12273-025-1346-3</v>
      </c>
    </row>
    <row r="36" spans="1:22" x14ac:dyDescent="0.4">
      <c r="C36" s="1" t="s">
        <v>2240</v>
      </c>
      <c r="D36" s="1" t="s">
        <v>2241</v>
      </c>
      <c r="E36" s="1" t="s">
        <v>2242</v>
      </c>
      <c r="F36" s="1" t="s">
        <v>12</v>
      </c>
      <c r="G36" s="1" t="s">
        <v>262</v>
      </c>
      <c r="H36" s="1" t="s">
        <v>2243</v>
      </c>
      <c r="I36" s="1" t="s">
        <v>2244</v>
      </c>
      <c r="J36" s="1" t="s">
        <v>2245</v>
      </c>
      <c r="K36" s="1" t="s">
        <v>2246</v>
      </c>
      <c r="L36" s="1" t="s">
        <v>2247</v>
      </c>
      <c r="M36" s="1" t="s">
        <v>2248</v>
      </c>
      <c r="N36" s="1" t="s">
        <v>2249</v>
      </c>
      <c r="O36" s="1" t="s">
        <v>16</v>
      </c>
      <c r="P36" s="1">
        <v>2025</v>
      </c>
      <c r="Q36" s="1">
        <v>18</v>
      </c>
      <c r="R36" s="1">
        <v>9</v>
      </c>
      <c r="S36" s="1">
        <v>2323</v>
      </c>
      <c r="T36" s="1">
        <v>2344</v>
      </c>
      <c r="U36" s="1" t="s">
        <v>2250</v>
      </c>
      <c r="V36" s="1" t="str">
        <f>HYPERLINK("http://dx.doi.org/10.1007/s12273-025-1322-y","http://dx.doi.org/10.1007/s12273-025-1322-y")</f>
        <v>http://dx.doi.org/10.1007/s12273-025-1322-y</v>
      </c>
    </row>
    <row r="37" spans="1:22" x14ac:dyDescent="0.4">
      <c r="C37" s="1" t="s">
        <v>2253</v>
      </c>
      <c r="D37" s="1" t="s">
        <v>2254</v>
      </c>
      <c r="E37" s="1" t="s">
        <v>2255</v>
      </c>
      <c r="F37" s="1" t="s">
        <v>12</v>
      </c>
      <c r="G37" s="1" t="s">
        <v>262</v>
      </c>
      <c r="H37" s="1" t="s">
        <v>2256</v>
      </c>
      <c r="I37" s="1" t="s">
        <v>2257</v>
      </c>
      <c r="J37" s="1" t="s">
        <v>2258</v>
      </c>
      <c r="K37" s="1" t="s">
        <v>2259</v>
      </c>
      <c r="L37" s="1" t="s">
        <v>2260</v>
      </c>
      <c r="M37" s="1" t="s">
        <v>2261</v>
      </c>
      <c r="N37" s="1" t="s">
        <v>2262</v>
      </c>
      <c r="O37" s="1" t="s">
        <v>15</v>
      </c>
      <c r="P37" s="1">
        <v>2025</v>
      </c>
      <c r="Q37" s="1">
        <v>18</v>
      </c>
      <c r="R37" s="1">
        <v>10</v>
      </c>
      <c r="S37" s="1">
        <v>2577</v>
      </c>
      <c r="T37" s="1">
        <v>2600</v>
      </c>
      <c r="U37" s="1" t="s">
        <v>2263</v>
      </c>
      <c r="V37" s="1" t="str">
        <f>HYPERLINK("http://dx.doi.org/10.1007/s12273-025-1333-8","http://dx.doi.org/10.1007/s12273-025-1333-8")</f>
        <v>http://dx.doi.org/10.1007/s12273-025-1333-8</v>
      </c>
    </row>
    <row r="38" spans="1:22" x14ac:dyDescent="0.4">
      <c r="C38" s="1" t="s">
        <v>2371</v>
      </c>
      <c r="D38" s="1" t="s">
        <v>2372</v>
      </c>
      <c r="E38" s="1" t="s">
        <v>2373</v>
      </c>
      <c r="F38" s="1" t="s">
        <v>12</v>
      </c>
      <c r="G38" s="1" t="s">
        <v>262</v>
      </c>
      <c r="H38" s="1" t="s">
        <v>2374</v>
      </c>
      <c r="I38" s="1" t="s">
        <v>2375</v>
      </c>
      <c r="J38" s="1" t="s">
        <v>2376</v>
      </c>
      <c r="K38" s="1" t="s">
        <v>2377</v>
      </c>
      <c r="L38" s="1" t="s">
        <v>2378</v>
      </c>
      <c r="M38" s="1" t="s">
        <v>2379</v>
      </c>
      <c r="N38" s="1" t="s">
        <v>2380</v>
      </c>
      <c r="O38" s="1" t="s">
        <v>19</v>
      </c>
      <c r="P38" s="1">
        <v>2025</v>
      </c>
      <c r="Q38" s="1">
        <v>18</v>
      </c>
      <c r="R38" s="1">
        <v>8</v>
      </c>
      <c r="S38" s="1">
        <v>1909</v>
      </c>
      <c r="T38" s="1">
        <v>1927</v>
      </c>
      <c r="U38" s="1" t="s">
        <v>2381</v>
      </c>
      <c r="V38" s="1" t="str">
        <f>HYPERLINK("http://dx.doi.org/10.1007/s12273-025-1306-y","http://dx.doi.org/10.1007/s12273-025-1306-y")</f>
        <v>http://dx.doi.org/10.1007/s12273-025-1306-y</v>
      </c>
    </row>
    <row r="39" spans="1:22" x14ac:dyDescent="0.4">
      <c r="C39" s="1" t="s">
        <v>2635</v>
      </c>
      <c r="D39" s="1" t="s">
        <v>2636</v>
      </c>
      <c r="E39" s="1" t="s">
        <v>2637</v>
      </c>
      <c r="F39" s="1" t="s">
        <v>12</v>
      </c>
      <c r="G39" s="1" t="s">
        <v>262</v>
      </c>
      <c r="H39" s="1" t="s">
        <v>2638</v>
      </c>
      <c r="I39" s="1" t="s">
        <v>2639</v>
      </c>
      <c r="J39" s="1" t="s">
        <v>2640</v>
      </c>
      <c r="K39" s="1" t="s">
        <v>2641</v>
      </c>
      <c r="L39" s="1" t="s">
        <v>1946</v>
      </c>
      <c r="M39" s="1" t="s">
        <v>2642</v>
      </c>
      <c r="N39" s="1" t="s">
        <v>2643</v>
      </c>
      <c r="O39" s="1" t="s">
        <v>19</v>
      </c>
      <c r="P39" s="1">
        <v>2025</v>
      </c>
      <c r="Q39" s="1">
        <v>18</v>
      </c>
      <c r="R39" s="1">
        <v>8</v>
      </c>
      <c r="S39" s="1">
        <v>1945</v>
      </c>
      <c r="T39" s="1">
        <v>1961</v>
      </c>
      <c r="U39" s="1" t="s">
        <v>2644</v>
      </c>
      <c r="V39" s="1" t="str">
        <f>HYPERLINK("http://dx.doi.org/10.1007/s12273-025-1297-8","http://dx.doi.org/10.1007/s12273-025-1297-8")</f>
        <v>http://dx.doi.org/10.1007/s12273-025-1297-8</v>
      </c>
    </row>
    <row r="40" spans="1:22" x14ac:dyDescent="0.4">
      <c r="C40" s="1" t="s">
        <v>2721</v>
      </c>
      <c r="D40" s="1" t="s">
        <v>2722</v>
      </c>
      <c r="E40" s="1" t="s">
        <v>2723</v>
      </c>
      <c r="F40" s="1" t="s">
        <v>12</v>
      </c>
      <c r="G40" s="1" t="s">
        <v>262</v>
      </c>
      <c r="H40" s="1" t="s">
        <v>2724</v>
      </c>
      <c r="I40" s="1" t="s">
        <v>2725</v>
      </c>
      <c r="J40" s="1" t="s">
        <v>2726</v>
      </c>
      <c r="K40" s="1" t="s">
        <v>2727</v>
      </c>
      <c r="L40" s="1" t="s">
        <v>2728</v>
      </c>
      <c r="M40" s="1" t="s">
        <v>2729</v>
      </c>
      <c r="N40" s="1" t="s">
        <v>2730</v>
      </c>
      <c r="O40" s="1" t="s">
        <v>19</v>
      </c>
      <c r="P40" s="1">
        <v>2025</v>
      </c>
      <c r="Q40" s="1">
        <v>18</v>
      </c>
      <c r="R40" s="1">
        <v>8</v>
      </c>
      <c r="S40" s="1">
        <v>2001</v>
      </c>
      <c r="T40" s="1">
        <v>2017</v>
      </c>
      <c r="U40" s="1" t="s">
        <v>2731</v>
      </c>
      <c r="V40" s="1" t="str">
        <f>HYPERLINK("http://dx.doi.org/10.1007/s12273-025-1302-2","http://dx.doi.org/10.1007/s12273-025-1302-2")</f>
        <v>http://dx.doi.org/10.1007/s12273-025-1302-2</v>
      </c>
    </row>
    <row r="41" spans="1:22" x14ac:dyDescent="0.4">
      <c r="C41" s="1" t="s">
        <v>2758</v>
      </c>
      <c r="D41" s="1" t="s">
        <v>2759</v>
      </c>
      <c r="E41" s="1" t="s">
        <v>2760</v>
      </c>
      <c r="F41" s="1" t="s">
        <v>12</v>
      </c>
      <c r="G41" s="1" t="s">
        <v>262</v>
      </c>
      <c r="H41" s="1" t="s">
        <v>2761</v>
      </c>
      <c r="I41" s="1" t="s">
        <v>2762</v>
      </c>
      <c r="J41" s="1" t="s">
        <v>2763</v>
      </c>
      <c r="K41" s="1" t="s">
        <v>2764</v>
      </c>
      <c r="L41" s="1" t="s">
        <v>2765</v>
      </c>
      <c r="M41" s="1" t="s">
        <v>2766</v>
      </c>
      <c r="N41" s="1" t="s">
        <v>300</v>
      </c>
      <c r="O41" s="1" t="s">
        <v>22</v>
      </c>
      <c r="P41" s="1">
        <v>2025</v>
      </c>
      <c r="Q41" s="1">
        <v>18</v>
      </c>
      <c r="R41" s="1">
        <v>6</v>
      </c>
      <c r="S41" s="1">
        <v>1337</v>
      </c>
      <c r="T41" s="1">
        <v>1354</v>
      </c>
      <c r="U41" s="1" t="s">
        <v>2767</v>
      </c>
      <c r="V41" s="1" t="str">
        <f>HYPERLINK("http://dx.doi.org/10.1007/s12273-025-1266-2","http://dx.doi.org/10.1007/s12273-025-1266-2")</f>
        <v>http://dx.doi.org/10.1007/s12273-025-1266-2</v>
      </c>
    </row>
    <row r="42" spans="1:22" x14ac:dyDescent="0.4">
      <c r="C42" s="1" t="s">
        <v>2769</v>
      </c>
      <c r="D42" s="1" t="s">
        <v>2770</v>
      </c>
      <c r="E42" s="1" t="s">
        <v>2771</v>
      </c>
      <c r="F42" s="1" t="s">
        <v>12</v>
      </c>
      <c r="G42" s="1" t="s">
        <v>262</v>
      </c>
      <c r="H42" s="1" t="s">
        <v>2772</v>
      </c>
      <c r="I42" s="1" t="s">
        <v>2773</v>
      </c>
      <c r="J42" s="1" t="s">
        <v>2774</v>
      </c>
      <c r="K42" s="1" t="s">
        <v>2775</v>
      </c>
      <c r="L42" s="1" t="s">
        <v>2776</v>
      </c>
      <c r="M42" s="1" t="s">
        <v>2777</v>
      </c>
      <c r="N42" s="1" t="s">
        <v>2778</v>
      </c>
      <c r="O42" s="1" t="s">
        <v>20</v>
      </c>
      <c r="P42" s="1">
        <v>2025</v>
      </c>
      <c r="Q42" s="1">
        <v>18</v>
      </c>
      <c r="R42" s="1">
        <v>7</v>
      </c>
      <c r="S42" s="1">
        <v>1697</v>
      </c>
      <c r="T42" s="1">
        <v>1716</v>
      </c>
      <c r="U42" s="1" t="s">
        <v>2779</v>
      </c>
      <c r="V42" s="1" t="str">
        <f>HYPERLINK("http://dx.doi.org/10.1007/s12273-025-1288-9","http://dx.doi.org/10.1007/s12273-025-1288-9")</f>
        <v>http://dx.doi.org/10.1007/s12273-025-1288-9</v>
      </c>
    </row>
    <row r="43" spans="1:22" x14ac:dyDescent="0.4">
      <c r="C43" s="1" t="s">
        <v>3134</v>
      </c>
      <c r="D43" s="1" t="s">
        <v>3135</v>
      </c>
      <c r="E43" s="1" t="s">
        <v>3136</v>
      </c>
      <c r="F43" s="1" t="s">
        <v>12</v>
      </c>
      <c r="G43" s="1" t="s">
        <v>262</v>
      </c>
      <c r="H43" s="1" t="s">
        <v>3137</v>
      </c>
      <c r="I43" s="1" t="s">
        <v>3138</v>
      </c>
      <c r="J43" s="1" t="s">
        <v>3139</v>
      </c>
      <c r="K43" s="1" t="s">
        <v>3140</v>
      </c>
      <c r="L43" s="1" t="s">
        <v>1306</v>
      </c>
      <c r="M43" s="1" t="s">
        <v>3141</v>
      </c>
      <c r="N43" s="1" t="s">
        <v>3142</v>
      </c>
      <c r="O43" s="1" t="s">
        <v>23</v>
      </c>
      <c r="P43" s="1">
        <v>2025</v>
      </c>
      <c r="Q43" s="1">
        <v>18</v>
      </c>
      <c r="R43" s="1">
        <v>4</v>
      </c>
      <c r="S43" s="1">
        <v>765</v>
      </c>
      <c r="T43" s="1">
        <v>789</v>
      </c>
      <c r="U43" s="1" t="s">
        <v>3143</v>
      </c>
      <c r="V43" s="1" t="str">
        <f>HYPERLINK("http://dx.doi.org/10.1007/s12273-025-1233-y","http://dx.doi.org/10.1007/s12273-025-1233-y")</f>
        <v>http://dx.doi.org/10.1007/s12273-025-1233-y</v>
      </c>
    </row>
    <row r="44" spans="1:22" x14ac:dyDescent="0.4">
      <c r="C44" s="1" t="s">
        <v>3220</v>
      </c>
      <c r="D44" s="1" t="s">
        <v>3221</v>
      </c>
      <c r="E44" s="1" t="s">
        <v>3222</v>
      </c>
      <c r="F44" s="1" t="s">
        <v>12</v>
      </c>
      <c r="G44" s="1" t="s">
        <v>262</v>
      </c>
      <c r="H44" s="1" t="s">
        <v>3223</v>
      </c>
      <c r="I44" s="1" t="s">
        <v>3224</v>
      </c>
      <c r="J44" s="1" t="s">
        <v>3225</v>
      </c>
      <c r="K44" s="1" t="s">
        <v>3226</v>
      </c>
      <c r="L44" s="1" t="s">
        <v>3227</v>
      </c>
      <c r="M44" s="1" t="s">
        <v>278</v>
      </c>
      <c r="N44" s="1" t="s">
        <v>279</v>
      </c>
      <c r="O44" s="1" t="s">
        <v>21</v>
      </c>
      <c r="P44" s="1">
        <v>2025</v>
      </c>
      <c r="Q44" s="1">
        <v>18</v>
      </c>
      <c r="R44" s="1">
        <v>5</v>
      </c>
      <c r="S44" s="1">
        <v>1163</v>
      </c>
      <c r="T44" s="1">
        <v>1178</v>
      </c>
      <c r="U44" s="1" t="s">
        <v>3228</v>
      </c>
      <c r="V44" s="1" t="str">
        <f>HYPERLINK("http://dx.doi.org/10.1007/s12273-025-1248-4","http://dx.doi.org/10.1007/s12273-025-1248-4")</f>
        <v>http://dx.doi.org/10.1007/s12273-025-1248-4</v>
      </c>
    </row>
    <row r="45" spans="1:22" x14ac:dyDescent="0.4">
      <c r="C45" s="1" t="s">
        <v>3230</v>
      </c>
      <c r="D45" s="1" t="s">
        <v>3231</v>
      </c>
      <c r="E45" s="1" t="s">
        <v>3232</v>
      </c>
      <c r="F45" s="1" t="s">
        <v>12</v>
      </c>
      <c r="G45" s="1" t="s">
        <v>262</v>
      </c>
      <c r="H45" s="1" t="s">
        <v>3233</v>
      </c>
      <c r="I45" s="1" t="s">
        <v>3234</v>
      </c>
      <c r="J45" s="1" t="s">
        <v>3235</v>
      </c>
      <c r="K45" s="1" t="s">
        <v>3236</v>
      </c>
      <c r="L45" s="1" t="s">
        <v>3237</v>
      </c>
      <c r="M45" s="1" t="s">
        <v>3238</v>
      </c>
      <c r="N45" s="1" t="s">
        <v>3239</v>
      </c>
      <c r="O45" s="1" t="s">
        <v>23</v>
      </c>
      <c r="P45" s="1">
        <v>2025</v>
      </c>
      <c r="Q45" s="1">
        <v>18</v>
      </c>
      <c r="R45" s="1">
        <v>4</v>
      </c>
      <c r="S45" s="1">
        <v>881</v>
      </c>
      <c r="T45" s="1">
        <v>896</v>
      </c>
      <c r="U45" s="1" t="s">
        <v>3240</v>
      </c>
      <c r="V45" s="1" t="str">
        <f>HYPERLINK("http://dx.doi.org/10.1007/s12273-025-1231-0","http://dx.doi.org/10.1007/s12273-025-1231-0")</f>
        <v>http://dx.doi.org/10.1007/s12273-025-1231-0</v>
      </c>
    </row>
    <row r="46" spans="1:22" x14ac:dyDescent="0.4">
      <c r="C46" s="1" t="s">
        <v>3371</v>
      </c>
      <c r="D46" s="1" t="s">
        <v>3372</v>
      </c>
      <c r="E46" s="1" t="s">
        <v>3373</v>
      </c>
      <c r="F46" s="1" t="s">
        <v>12</v>
      </c>
      <c r="G46" s="1" t="s">
        <v>262</v>
      </c>
      <c r="H46" s="1" t="s">
        <v>3374</v>
      </c>
      <c r="I46" s="1" t="s">
        <v>3375</v>
      </c>
      <c r="J46" s="1" t="s">
        <v>3376</v>
      </c>
      <c r="K46" s="1" t="s">
        <v>3377</v>
      </c>
      <c r="L46" s="1" t="s">
        <v>281</v>
      </c>
      <c r="M46" s="1" t="s">
        <v>3378</v>
      </c>
      <c r="N46" s="1" t="s">
        <v>722</v>
      </c>
      <c r="O46" s="1" t="s">
        <v>26</v>
      </c>
      <c r="P46" s="1">
        <v>2025</v>
      </c>
      <c r="Q46" s="1">
        <v>18</v>
      </c>
      <c r="R46" s="1">
        <v>2</v>
      </c>
      <c r="S46" s="1">
        <v>423</v>
      </c>
      <c r="T46" s="1">
        <v>447</v>
      </c>
      <c r="U46" s="1" t="s">
        <v>3379</v>
      </c>
      <c r="V46" s="1" t="str">
        <f>HYPERLINK("http://dx.doi.org/10.1007/s12273-024-1191-9","http://dx.doi.org/10.1007/s12273-024-1191-9")</f>
        <v>http://dx.doi.org/10.1007/s12273-024-1191-9</v>
      </c>
    </row>
    <row r="47" spans="1:22" x14ac:dyDescent="0.4">
      <c r="C47" s="1" t="s">
        <v>3381</v>
      </c>
      <c r="D47" s="1" t="s">
        <v>3382</v>
      </c>
      <c r="E47" s="1" t="s">
        <v>3383</v>
      </c>
      <c r="F47" s="1" t="s">
        <v>12</v>
      </c>
      <c r="G47" s="1" t="s">
        <v>262</v>
      </c>
      <c r="H47" s="1" t="s">
        <v>3384</v>
      </c>
      <c r="I47" s="1" t="s">
        <v>3385</v>
      </c>
      <c r="J47" s="1" t="s">
        <v>3386</v>
      </c>
      <c r="K47" s="1" t="s">
        <v>3387</v>
      </c>
      <c r="L47" s="1" t="s">
        <v>439</v>
      </c>
      <c r="M47" s="1" t="s">
        <v>3388</v>
      </c>
      <c r="N47" s="1" t="s">
        <v>3389</v>
      </c>
      <c r="O47" s="1" t="s">
        <v>25</v>
      </c>
      <c r="P47" s="1">
        <v>2025</v>
      </c>
      <c r="Q47" s="1">
        <v>18</v>
      </c>
      <c r="R47" s="1">
        <v>3</v>
      </c>
      <c r="S47" s="1">
        <v>547</v>
      </c>
      <c r="T47" s="1">
        <v>567</v>
      </c>
      <c r="U47" s="1" t="s">
        <v>3390</v>
      </c>
      <c r="V47" s="1" t="str">
        <f>HYPERLINK("http://dx.doi.org/10.1007/s12273-024-1227-9","http://dx.doi.org/10.1007/s12273-024-1227-9")</f>
        <v>http://dx.doi.org/10.1007/s12273-024-1227-9</v>
      </c>
    </row>
    <row r="48" spans="1:22" x14ac:dyDescent="0.4">
      <c r="C48" s="1" t="s">
        <v>1587</v>
      </c>
      <c r="D48" s="1" t="s">
        <v>1588</v>
      </c>
      <c r="E48" s="1" t="s">
        <v>1589</v>
      </c>
      <c r="F48" s="1" t="s">
        <v>12</v>
      </c>
      <c r="G48" s="1" t="s">
        <v>262</v>
      </c>
      <c r="H48" s="1" t="s">
        <v>1590</v>
      </c>
      <c r="I48" s="1" t="s">
        <v>1591</v>
      </c>
      <c r="J48" s="1" t="s">
        <v>1592</v>
      </c>
      <c r="K48" s="1" t="s">
        <v>1593</v>
      </c>
      <c r="L48" s="1" t="s">
        <v>1594</v>
      </c>
      <c r="M48" s="1" t="s">
        <v>1595</v>
      </c>
      <c r="N48" s="1" t="s">
        <v>465</v>
      </c>
      <c r="O48" s="1" t="s">
        <v>24</v>
      </c>
      <c r="P48" s="1">
        <v>2025</v>
      </c>
      <c r="Q48" s="1">
        <v>18</v>
      </c>
      <c r="R48" s="1">
        <v>1</v>
      </c>
      <c r="S48" s="1">
        <v>123</v>
      </c>
      <c r="T48" s="1">
        <v>140</v>
      </c>
      <c r="U48" s="1" t="s">
        <v>1596</v>
      </c>
      <c r="V48" s="1" t="str">
        <f>HYPERLINK("http://dx.doi.org/10.1007/s12273-024-1198-2","http://dx.doi.org/10.1007/s12273-024-1198-2")</f>
        <v>http://dx.doi.org/10.1007/s12273-024-1198-2</v>
      </c>
    </row>
    <row r="49" spans="1:22" x14ac:dyDescent="0.4">
      <c r="C49" s="1" t="s">
        <v>1724</v>
      </c>
      <c r="D49" s="1" t="s">
        <v>1725</v>
      </c>
      <c r="E49" s="1" t="s">
        <v>1726</v>
      </c>
      <c r="F49" s="1" t="s">
        <v>12</v>
      </c>
      <c r="G49" s="1" t="s">
        <v>262</v>
      </c>
      <c r="H49" s="1" t="s">
        <v>1727</v>
      </c>
      <c r="I49" s="1" t="s">
        <v>1728</v>
      </c>
      <c r="J49" s="1" t="s">
        <v>1729</v>
      </c>
      <c r="K49" s="1" t="s">
        <v>1730</v>
      </c>
      <c r="L49" s="1" t="s">
        <v>1731</v>
      </c>
      <c r="M49" s="1" t="s">
        <v>1732</v>
      </c>
      <c r="N49" s="1" t="s">
        <v>852</v>
      </c>
      <c r="O49" s="1" t="s">
        <v>25</v>
      </c>
      <c r="P49" s="1">
        <v>2025</v>
      </c>
      <c r="Q49" s="1">
        <v>18</v>
      </c>
      <c r="R49" s="1">
        <v>3</v>
      </c>
      <c r="S49" s="1">
        <v>473</v>
      </c>
      <c r="T49" s="1">
        <v>497</v>
      </c>
      <c r="U49" s="1" t="s">
        <v>1734</v>
      </c>
      <c r="V49" s="1" t="str">
        <f>HYPERLINK("http://dx.doi.org/10.1007/s12273-024-1196-4","http://dx.doi.org/10.1007/s12273-024-1196-4")</f>
        <v>http://dx.doi.org/10.1007/s12273-024-1196-4</v>
      </c>
    </row>
    <row r="50" spans="1:22" x14ac:dyDescent="0.4">
      <c r="C50" s="1" t="s">
        <v>1691</v>
      </c>
      <c r="D50" s="1" t="s">
        <v>1692</v>
      </c>
      <c r="E50" s="1" t="s">
        <v>1693</v>
      </c>
      <c r="F50" s="1" t="s">
        <v>12</v>
      </c>
      <c r="G50" s="1" t="s">
        <v>262</v>
      </c>
      <c r="H50" s="1" t="s">
        <v>1694</v>
      </c>
      <c r="I50" s="1" t="s">
        <v>11</v>
      </c>
      <c r="J50" s="1" t="s">
        <v>1695</v>
      </c>
      <c r="K50" s="1" t="s">
        <v>1696</v>
      </c>
      <c r="L50" s="1" t="s">
        <v>1641</v>
      </c>
      <c r="M50" s="1" t="s">
        <v>1697</v>
      </c>
      <c r="N50" s="1" t="s">
        <v>1698</v>
      </c>
      <c r="O50" s="1" t="s">
        <v>26</v>
      </c>
      <c r="P50" s="1">
        <v>2025</v>
      </c>
      <c r="Q50" s="1">
        <v>18</v>
      </c>
      <c r="R50" s="1">
        <v>2</v>
      </c>
      <c r="S50" s="1">
        <v>353</v>
      </c>
      <c r="T50" s="1">
        <v>370</v>
      </c>
      <c r="U50" s="1" t="s">
        <v>1699</v>
      </c>
      <c r="V50" s="1" t="str">
        <f>HYPERLINK("http://dx.doi.org/10.1007/s12273-024-1220-8","http://dx.doi.org/10.1007/s12273-024-1220-8")</f>
        <v>http://dx.doi.org/10.1007/s12273-024-1220-8</v>
      </c>
    </row>
    <row r="52" spans="1:22" ht="13.7" x14ac:dyDescent="0.5">
      <c r="A52" s="4" t="s">
        <v>180</v>
      </c>
      <c r="B52" s="4" t="s">
        <v>197</v>
      </c>
      <c r="E52" s="11"/>
    </row>
    <row r="53" spans="1:22" x14ac:dyDescent="0.4">
      <c r="C53" s="1" t="s">
        <v>456</v>
      </c>
      <c r="D53" s="1" t="s">
        <v>457</v>
      </c>
      <c r="E53" s="1" t="s">
        <v>458</v>
      </c>
      <c r="F53" s="1" t="s">
        <v>12</v>
      </c>
      <c r="G53" s="1" t="s">
        <v>262</v>
      </c>
      <c r="H53" s="1" t="s">
        <v>459</v>
      </c>
      <c r="I53" s="1" t="s">
        <v>460</v>
      </c>
      <c r="J53" s="1" t="s">
        <v>461</v>
      </c>
      <c r="K53" s="1" t="s">
        <v>462</v>
      </c>
      <c r="L53" s="1" t="s">
        <v>463</v>
      </c>
      <c r="M53" s="1" t="s">
        <v>464</v>
      </c>
      <c r="N53" s="1" t="s">
        <v>465</v>
      </c>
      <c r="O53" s="1" t="s">
        <v>23</v>
      </c>
      <c r="P53" s="1">
        <v>2024</v>
      </c>
      <c r="Q53" s="1">
        <v>17</v>
      </c>
      <c r="R53" s="1">
        <v>4</v>
      </c>
      <c r="S53" s="1">
        <v>657</v>
      </c>
      <c r="T53" s="1">
        <v>676</v>
      </c>
      <c r="U53" s="1" t="s">
        <v>466</v>
      </c>
      <c r="V53" s="1" t="str">
        <f>HYPERLINK("http://dx.doi.org/10.1007/s12273-024-1115-8","http://dx.doi.org/10.1007/s12273-024-1115-8")</f>
        <v>http://dx.doi.org/10.1007/s12273-024-1115-8</v>
      </c>
    </row>
    <row r="54" spans="1:22" x14ac:dyDescent="0.4">
      <c r="C54" s="1" t="s">
        <v>1587</v>
      </c>
      <c r="D54" s="1" t="s">
        <v>1588</v>
      </c>
      <c r="E54" s="1" t="s">
        <v>1589</v>
      </c>
      <c r="F54" s="1" t="s">
        <v>12</v>
      </c>
      <c r="G54" s="1" t="s">
        <v>1080</v>
      </c>
      <c r="H54" s="1" t="s">
        <v>1590</v>
      </c>
      <c r="I54" s="1" t="s">
        <v>1591</v>
      </c>
      <c r="J54" s="1" t="s">
        <v>1592</v>
      </c>
      <c r="K54" s="1" t="s">
        <v>1593</v>
      </c>
      <c r="L54" s="1" t="s">
        <v>1594</v>
      </c>
      <c r="M54" s="1" t="s">
        <v>1595</v>
      </c>
      <c r="N54" s="1" t="s">
        <v>465</v>
      </c>
      <c r="O54" s="1" t="s">
        <v>1524</v>
      </c>
      <c r="P54" s="1">
        <v>2025</v>
      </c>
      <c r="Q54" s="1">
        <v>18</v>
      </c>
      <c r="R54" s="1">
        <v>1</v>
      </c>
      <c r="S54" s="1">
        <v>123</v>
      </c>
      <c r="T54" s="1">
        <v>140</v>
      </c>
      <c r="U54" s="1" t="s">
        <v>1596</v>
      </c>
      <c r="V54" s="1" t="str">
        <f>HYPERLINK("http://dx.doi.org/10.1007/s12273-024-1198-2","http://dx.doi.org/10.1007/s12273-024-1198-2")</f>
        <v>http://dx.doi.org/10.1007/s12273-024-1198-2</v>
      </c>
    </row>
    <row r="56" spans="1:22" ht="13.7" x14ac:dyDescent="0.5">
      <c r="A56" s="4" t="s">
        <v>1776</v>
      </c>
      <c r="B56" s="4" t="s">
        <v>1777</v>
      </c>
    </row>
    <row r="57" spans="1:22" x14ac:dyDescent="0.4">
      <c r="C57" s="1" t="s">
        <v>2056</v>
      </c>
      <c r="D57" s="1" t="s">
        <v>2057</v>
      </c>
      <c r="E57" s="1" t="s">
        <v>2058</v>
      </c>
      <c r="F57" s="1" t="s">
        <v>12</v>
      </c>
      <c r="G57" s="1" t="s">
        <v>262</v>
      </c>
      <c r="H57" s="1" t="s">
        <v>2059</v>
      </c>
      <c r="I57" s="1" t="s">
        <v>2060</v>
      </c>
      <c r="J57" s="1" t="s">
        <v>2061</v>
      </c>
      <c r="K57" s="1" t="s">
        <v>2062</v>
      </c>
      <c r="L57" s="1" t="s">
        <v>2063</v>
      </c>
      <c r="M57" s="1" t="s">
        <v>2064</v>
      </c>
      <c r="N57" s="1" t="s">
        <v>2065</v>
      </c>
      <c r="O57" s="1" t="s">
        <v>14</v>
      </c>
      <c r="P57" s="1">
        <v>2025</v>
      </c>
      <c r="Q57" s="1">
        <v>18</v>
      </c>
      <c r="R57" s="1">
        <v>11</v>
      </c>
      <c r="S57" s="1">
        <v>3119</v>
      </c>
      <c r="T57" s="1">
        <v>3132</v>
      </c>
      <c r="U57" s="1" t="s">
        <v>2066</v>
      </c>
      <c r="V57" s="1" t="str">
        <f>HYPERLINK("http://dx.doi.org/10.1007/s12273-025-1352-5","http://dx.doi.org/10.1007/s12273-025-1352-5")</f>
        <v>http://dx.doi.org/10.1007/s12273-025-1352-5</v>
      </c>
    </row>
    <row r="58" spans="1:22" x14ac:dyDescent="0.4">
      <c r="C58" s="1" t="s">
        <v>2976</v>
      </c>
      <c r="D58" s="1" t="s">
        <v>2977</v>
      </c>
      <c r="E58" s="1" t="s">
        <v>2978</v>
      </c>
      <c r="F58" s="1" t="s">
        <v>12</v>
      </c>
      <c r="G58" s="1" t="s">
        <v>262</v>
      </c>
      <c r="H58" s="1" t="s">
        <v>2979</v>
      </c>
      <c r="I58" s="1" t="s">
        <v>2980</v>
      </c>
      <c r="J58" s="1" t="s">
        <v>2981</v>
      </c>
      <c r="K58" s="1" t="s">
        <v>2982</v>
      </c>
      <c r="L58" s="1" t="s">
        <v>2983</v>
      </c>
      <c r="M58" s="1" t="s">
        <v>2984</v>
      </c>
      <c r="N58" s="1" t="s">
        <v>1817</v>
      </c>
      <c r="O58" s="1" t="s">
        <v>20</v>
      </c>
      <c r="P58" s="1">
        <v>2025</v>
      </c>
      <c r="Q58" s="1">
        <v>18</v>
      </c>
      <c r="R58" s="1">
        <v>7</v>
      </c>
      <c r="S58" s="1">
        <v>1641</v>
      </c>
      <c r="T58" s="1">
        <v>1657</v>
      </c>
      <c r="U58" s="1" t="s">
        <v>2985</v>
      </c>
      <c r="V58" s="1" t="str">
        <f>HYPERLINK("http://dx.doi.org/10.1007/s12273-025-1268-0","http://dx.doi.org/10.1007/s12273-025-1268-0")</f>
        <v>http://dx.doi.org/10.1007/s12273-025-1268-0</v>
      </c>
    </row>
    <row r="59" spans="1:22" x14ac:dyDescent="0.4">
      <c r="C59" s="1" t="s">
        <v>3166</v>
      </c>
      <c r="D59" s="1" t="s">
        <v>3167</v>
      </c>
      <c r="E59" s="1" t="s">
        <v>3168</v>
      </c>
      <c r="F59" s="1" t="s">
        <v>12</v>
      </c>
      <c r="G59" s="1" t="s">
        <v>262</v>
      </c>
      <c r="H59" s="1" t="s">
        <v>3169</v>
      </c>
      <c r="I59" s="1" t="s">
        <v>3170</v>
      </c>
      <c r="J59" s="1" t="s">
        <v>3171</v>
      </c>
      <c r="K59" s="1" t="s">
        <v>3172</v>
      </c>
      <c r="L59" s="1" t="s">
        <v>1815</v>
      </c>
      <c r="M59" s="1" t="s">
        <v>3173</v>
      </c>
      <c r="N59" s="1" t="s">
        <v>1817</v>
      </c>
      <c r="O59" s="1" t="s">
        <v>23</v>
      </c>
      <c r="P59" s="1">
        <v>2025</v>
      </c>
      <c r="Q59" s="1">
        <v>18</v>
      </c>
      <c r="R59" s="1">
        <v>4</v>
      </c>
      <c r="S59" s="1">
        <v>863</v>
      </c>
      <c r="T59" s="1">
        <v>879</v>
      </c>
      <c r="U59" s="1" t="s">
        <v>3174</v>
      </c>
      <c r="V59" s="1" t="str">
        <f>HYPERLINK("http://dx.doi.org/10.1007/s12273-025-1242-x","http://dx.doi.org/10.1007/s12273-025-1242-x")</f>
        <v>http://dx.doi.org/10.1007/s12273-025-1242-x</v>
      </c>
    </row>
    <row r="60" spans="1:22" x14ac:dyDescent="0.4">
      <c r="C60" s="1" t="s">
        <v>3392</v>
      </c>
      <c r="D60" s="1" t="s">
        <v>3393</v>
      </c>
      <c r="E60" s="1" t="s">
        <v>3394</v>
      </c>
      <c r="F60" s="1" t="s">
        <v>12</v>
      </c>
      <c r="G60" s="1" t="s">
        <v>262</v>
      </c>
      <c r="H60" s="1" t="s">
        <v>3395</v>
      </c>
      <c r="I60" s="1" t="s">
        <v>3396</v>
      </c>
      <c r="J60" s="1" t="s">
        <v>3397</v>
      </c>
      <c r="K60" s="1" t="s">
        <v>3398</v>
      </c>
      <c r="L60" s="1" t="s">
        <v>3399</v>
      </c>
      <c r="M60" s="1" t="s">
        <v>3400</v>
      </c>
      <c r="N60" s="1" t="s">
        <v>277</v>
      </c>
      <c r="O60" s="1" t="s">
        <v>25</v>
      </c>
      <c r="P60" s="1">
        <v>2025</v>
      </c>
      <c r="Q60" s="1">
        <v>18</v>
      </c>
      <c r="R60" s="1">
        <v>3</v>
      </c>
      <c r="S60" s="1">
        <v>569</v>
      </c>
      <c r="T60" s="1">
        <v>579</v>
      </c>
      <c r="U60" s="1" t="s">
        <v>3401</v>
      </c>
      <c r="V60" s="1" t="str">
        <f>HYPERLINK("http://dx.doi.org/10.1007/s12273-025-1225-y","http://dx.doi.org/10.1007/s12273-025-1225-y")</f>
        <v>http://dx.doi.org/10.1007/s12273-025-1225-y</v>
      </c>
    </row>
    <row r="61" spans="1:22" x14ac:dyDescent="0.4">
      <c r="C61" s="1" t="s">
        <v>1610</v>
      </c>
      <c r="D61" s="1" t="s">
        <v>1611</v>
      </c>
      <c r="E61" s="1" t="s">
        <v>1612</v>
      </c>
      <c r="F61" s="1" t="s">
        <v>12</v>
      </c>
      <c r="G61" s="1" t="s">
        <v>262</v>
      </c>
      <c r="H61" s="1" t="s">
        <v>1613</v>
      </c>
      <c r="I61" s="1" t="s">
        <v>1614</v>
      </c>
      <c r="J61" s="1" t="s">
        <v>1615</v>
      </c>
      <c r="K61" s="1" t="s">
        <v>1616</v>
      </c>
      <c r="L61" s="1" t="s">
        <v>1617</v>
      </c>
      <c r="M61" s="1" t="s">
        <v>1618</v>
      </c>
      <c r="N61" s="1" t="s">
        <v>1619</v>
      </c>
      <c r="O61" s="1" t="s">
        <v>24</v>
      </c>
      <c r="P61" s="1">
        <v>2025</v>
      </c>
      <c r="Q61" s="1">
        <v>18</v>
      </c>
      <c r="R61" s="1">
        <v>1</v>
      </c>
      <c r="S61" s="1">
        <v>161</v>
      </c>
      <c r="T61" s="1">
        <v>181</v>
      </c>
      <c r="U61" s="1" t="s">
        <v>1620</v>
      </c>
      <c r="V61" s="1" t="str">
        <f>HYPERLINK("http://dx.doi.org/10.1007/s12273-024-1200-z","http://dx.doi.org/10.1007/s12273-024-1200-z")</f>
        <v>http://dx.doi.org/10.1007/s12273-024-1200-z</v>
      </c>
    </row>
    <row r="62" spans="1:22" x14ac:dyDescent="0.4">
      <c r="C62" s="1" t="s">
        <v>1644</v>
      </c>
      <c r="D62" s="1" t="s">
        <v>1645</v>
      </c>
      <c r="E62" s="1" t="s">
        <v>1646</v>
      </c>
      <c r="F62" s="1" t="s">
        <v>12</v>
      </c>
      <c r="G62" s="1" t="s">
        <v>262</v>
      </c>
      <c r="H62" s="1" t="s">
        <v>1647</v>
      </c>
      <c r="I62" s="1" t="s">
        <v>1648</v>
      </c>
      <c r="J62" s="1" t="s">
        <v>1649</v>
      </c>
      <c r="K62" s="1" t="s">
        <v>1650</v>
      </c>
      <c r="L62" s="1" t="s">
        <v>1651</v>
      </c>
      <c r="M62" s="1" t="s">
        <v>1652</v>
      </c>
      <c r="N62" s="1" t="s">
        <v>1653</v>
      </c>
      <c r="O62" s="1" t="s">
        <v>26</v>
      </c>
      <c r="P62" s="1">
        <v>2025</v>
      </c>
      <c r="Q62" s="1">
        <v>18</v>
      </c>
      <c r="R62" s="1">
        <v>2</v>
      </c>
      <c r="S62" s="1">
        <v>235</v>
      </c>
      <c r="T62" s="1">
        <v>258</v>
      </c>
      <c r="U62" s="1" t="s">
        <v>1655</v>
      </c>
      <c r="V62" s="1" t="str">
        <f>HYPERLINK("http://dx.doi.org/10.1007/s12273-024-1203-9","http://dx.doi.org/10.1007/s12273-024-1203-9")</f>
        <v>http://dx.doi.org/10.1007/s12273-024-1203-9</v>
      </c>
    </row>
    <row r="64" spans="1:22" ht="13.7" x14ac:dyDescent="0.5">
      <c r="A64" s="4" t="s">
        <v>3578</v>
      </c>
      <c r="B64" s="1" t="s">
        <v>3579</v>
      </c>
    </row>
    <row r="65" spans="3:22" x14ac:dyDescent="0.4">
      <c r="C65" s="1" t="s">
        <v>1552</v>
      </c>
      <c r="D65" s="1" t="s">
        <v>1553</v>
      </c>
      <c r="E65" s="1" t="s">
        <v>1554</v>
      </c>
      <c r="F65" s="1" t="s">
        <v>12</v>
      </c>
      <c r="G65" s="1" t="s">
        <v>262</v>
      </c>
      <c r="H65" s="1" t="s">
        <v>1555</v>
      </c>
      <c r="I65" s="1" t="s">
        <v>1556</v>
      </c>
      <c r="J65" s="1" t="s">
        <v>1557</v>
      </c>
      <c r="K65" s="1" t="s">
        <v>1558</v>
      </c>
      <c r="L65" s="1" t="s">
        <v>1559</v>
      </c>
      <c r="M65" s="1" t="s">
        <v>1560</v>
      </c>
      <c r="N65" s="1" t="s">
        <v>1561</v>
      </c>
      <c r="O65" s="1" t="s">
        <v>24</v>
      </c>
      <c r="P65" s="1">
        <v>2025</v>
      </c>
      <c r="Q65" s="1">
        <v>18</v>
      </c>
      <c r="R65" s="1">
        <v>1</v>
      </c>
      <c r="S65" s="1">
        <v>65</v>
      </c>
      <c r="T65" s="1">
        <v>85</v>
      </c>
      <c r="U65" s="1" t="s">
        <v>1562</v>
      </c>
      <c r="V65" s="1" t="str">
        <f>HYPERLINK("http://dx.doi.org/10.1007/s12273-024-1216-4","http://dx.doi.org/10.1007/s12273-024-1216-4")</f>
        <v>http://dx.doi.org/10.1007/s12273-024-1216-4</v>
      </c>
    </row>
  </sheetData>
  <phoneticPr fontId="2" type="noConversion"/>
  <conditionalFormatting sqref="U1">
    <cfRule type="duplicateValues" dxfId="262" priority="25" stopIfTrue="1"/>
  </conditionalFormatting>
  <conditionalFormatting sqref="U3">
    <cfRule type="duplicateValues" dxfId="261" priority="35" stopIfTrue="1"/>
  </conditionalFormatting>
  <conditionalFormatting sqref="U4">
    <cfRule type="duplicateValues" dxfId="260" priority="32" stopIfTrue="1"/>
  </conditionalFormatting>
  <conditionalFormatting sqref="U5">
    <cfRule type="duplicateValues" dxfId="259" priority="19" stopIfTrue="1"/>
  </conditionalFormatting>
  <conditionalFormatting sqref="U6">
    <cfRule type="duplicateValues" dxfId="258" priority="17" stopIfTrue="1"/>
  </conditionalFormatting>
  <conditionalFormatting sqref="U7">
    <cfRule type="duplicateValues" dxfId="257" priority="2" stopIfTrue="1"/>
  </conditionalFormatting>
  <conditionalFormatting sqref="U8">
    <cfRule type="duplicateValues" dxfId="256" priority="38" stopIfTrue="1"/>
  </conditionalFormatting>
  <conditionalFormatting sqref="U10">
    <cfRule type="duplicateValues" dxfId="255" priority="40" stopIfTrue="1"/>
  </conditionalFormatting>
  <conditionalFormatting sqref="U11">
    <cfRule type="duplicateValues" dxfId="254" priority="37" stopIfTrue="1"/>
  </conditionalFormatting>
  <conditionalFormatting sqref="U12">
    <cfRule type="duplicateValues" dxfId="253" priority="33" stopIfTrue="1"/>
  </conditionalFormatting>
  <conditionalFormatting sqref="U13">
    <cfRule type="duplicateValues" dxfId="252" priority="31" stopIfTrue="1"/>
  </conditionalFormatting>
  <conditionalFormatting sqref="U14">
    <cfRule type="duplicateValues" dxfId="251" priority="27" stopIfTrue="1"/>
  </conditionalFormatting>
  <conditionalFormatting sqref="U15">
    <cfRule type="duplicateValues" dxfId="250" priority="16" stopIfTrue="1"/>
  </conditionalFormatting>
  <conditionalFormatting sqref="U16">
    <cfRule type="duplicateValues" dxfId="249" priority="13" stopIfTrue="1"/>
  </conditionalFormatting>
  <conditionalFormatting sqref="U17 U21">
    <cfRule type="duplicateValues" dxfId="248" priority="11" stopIfTrue="1"/>
  </conditionalFormatting>
  <conditionalFormatting sqref="U18">
    <cfRule type="duplicateValues" dxfId="247" priority="7" stopIfTrue="1"/>
  </conditionalFormatting>
  <conditionalFormatting sqref="U19">
    <cfRule type="duplicateValues" dxfId="246" priority="6" stopIfTrue="1"/>
  </conditionalFormatting>
  <conditionalFormatting sqref="U20">
    <cfRule type="duplicateValues" dxfId="245" priority="1" stopIfTrue="1"/>
  </conditionalFormatting>
  <conditionalFormatting sqref="U23">
    <cfRule type="duplicateValues" dxfId="244" priority="30" stopIfTrue="1"/>
  </conditionalFormatting>
  <conditionalFormatting sqref="U24">
    <cfRule type="duplicateValues" dxfId="243" priority="29" stopIfTrue="1"/>
  </conditionalFormatting>
  <conditionalFormatting sqref="U25">
    <cfRule type="duplicateValues" dxfId="242" priority="21" stopIfTrue="1"/>
  </conditionalFormatting>
  <conditionalFormatting sqref="U26 U28">
    <cfRule type="duplicateValues" dxfId="241" priority="15" stopIfTrue="1"/>
  </conditionalFormatting>
  <conditionalFormatting sqref="U27">
    <cfRule type="duplicateValues" dxfId="240" priority="5" stopIfTrue="1"/>
  </conditionalFormatting>
  <conditionalFormatting sqref="U30">
    <cfRule type="duplicateValues" dxfId="239" priority="23" stopIfTrue="1"/>
  </conditionalFormatting>
  <conditionalFormatting sqref="U32">
    <cfRule type="duplicateValues" dxfId="238" priority="34" stopIfTrue="1"/>
  </conditionalFormatting>
  <conditionalFormatting sqref="U33">
    <cfRule type="duplicateValues" dxfId="237" priority="26" stopIfTrue="1"/>
  </conditionalFormatting>
  <conditionalFormatting sqref="U34">
    <cfRule type="duplicateValues" dxfId="236" priority="24" stopIfTrue="1"/>
  </conditionalFormatting>
  <conditionalFormatting sqref="U35">
    <cfRule type="duplicateValues" dxfId="235" priority="22" stopIfTrue="1"/>
  </conditionalFormatting>
  <conditionalFormatting sqref="U36">
    <cfRule type="duplicateValues" dxfId="234" priority="20" stopIfTrue="1"/>
  </conditionalFormatting>
  <conditionalFormatting sqref="U37">
    <cfRule type="duplicateValues" dxfId="233" priority="18" stopIfTrue="1"/>
  </conditionalFormatting>
  <conditionalFormatting sqref="U38">
    <cfRule type="duplicateValues" dxfId="232" priority="14" stopIfTrue="1"/>
  </conditionalFormatting>
  <conditionalFormatting sqref="U39">
    <cfRule type="duplicateValues" dxfId="231" priority="12" stopIfTrue="1"/>
  </conditionalFormatting>
  <conditionalFormatting sqref="U40">
    <cfRule type="duplicateValues" dxfId="230" priority="10" stopIfTrue="1"/>
  </conditionalFormatting>
  <conditionalFormatting sqref="U41">
    <cfRule type="duplicateValues" dxfId="229" priority="9" stopIfTrue="1"/>
  </conditionalFormatting>
  <conditionalFormatting sqref="U42">
    <cfRule type="duplicateValues" dxfId="228" priority="8" stopIfTrue="1"/>
  </conditionalFormatting>
  <conditionalFormatting sqref="U43">
    <cfRule type="duplicateValues" dxfId="227" priority="4" stopIfTrue="1"/>
  </conditionalFormatting>
  <conditionalFormatting sqref="U51">
    <cfRule type="duplicateValues" dxfId="226" priority="3" stopIfTrue="1"/>
  </conditionalFormatting>
  <conditionalFormatting sqref="U53">
    <cfRule type="duplicateValues" dxfId="225" priority="36" stopIfTrue="1"/>
  </conditionalFormatting>
  <conditionalFormatting sqref="U54">
    <cfRule type="duplicateValues" dxfId="224" priority="28" stopIfTrue="1"/>
  </conditionalFormatting>
  <conditionalFormatting sqref="U55">
    <cfRule type="duplicateValues" dxfId="223" priority="39"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2"/>
  <sheetViews>
    <sheetView topLeftCell="A40" workbookViewId="0">
      <selection activeCell="B65" sqref="B65"/>
    </sheetView>
  </sheetViews>
  <sheetFormatPr defaultColWidth="9.1171875" defaultRowHeight="12.7" x14ac:dyDescent="0.4"/>
  <cols>
    <col min="1" max="1" width="15.29296875" style="1" customWidth="1"/>
    <col min="2" max="2" width="20.41015625" style="1" customWidth="1"/>
    <col min="3" max="3" width="19.41015625" style="1" customWidth="1"/>
    <col min="4" max="4" width="37.29296875" style="1" customWidth="1"/>
    <col min="5" max="5" width="19.41015625" style="1" customWidth="1"/>
    <col min="6" max="6" width="37.29296875" style="1" customWidth="1"/>
    <col min="7" max="16384" width="9.1171875" style="1"/>
  </cols>
  <sheetData>
    <row r="1" spans="1:23" s="9" customFormat="1" ht="38" x14ac:dyDescent="0.4">
      <c r="C1" s="16" t="s">
        <v>162</v>
      </c>
      <c r="D1" s="16" t="s">
        <v>0</v>
      </c>
      <c r="E1" s="16" t="s">
        <v>161</v>
      </c>
      <c r="F1" s="16" t="s">
        <v>1</v>
      </c>
      <c r="G1" s="16" t="s">
        <v>255</v>
      </c>
      <c r="H1" s="16" t="s">
        <v>163</v>
      </c>
      <c r="I1" s="16" t="s">
        <v>254</v>
      </c>
      <c r="J1" s="16" t="s">
        <v>164</v>
      </c>
      <c r="K1" s="16" t="s">
        <v>256</v>
      </c>
      <c r="L1" s="16" t="s">
        <v>257</v>
      </c>
      <c r="M1" s="16" t="s">
        <v>258</v>
      </c>
      <c r="N1" s="16" t="s">
        <v>259</v>
      </c>
      <c r="O1" s="16" t="s">
        <v>2</v>
      </c>
      <c r="P1" s="16" t="s">
        <v>3</v>
      </c>
      <c r="Q1" s="16" t="s">
        <v>4</v>
      </c>
      <c r="R1" s="16" t="s">
        <v>5</v>
      </c>
      <c r="S1" s="16" t="s">
        <v>6</v>
      </c>
      <c r="T1" s="16" t="s">
        <v>7</v>
      </c>
      <c r="U1" s="16" t="s">
        <v>8</v>
      </c>
      <c r="V1" s="16" t="s">
        <v>9</v>
      </c>
      <c r="W1" s="16"/>
    </row>
    <row r="2" spans="1:23" x14ac:dyDescent="0.4">
      <c r="A2" s="10" t="s">
        <v>49</v>
      </c>
      <c r="B2" s="10" t="s">
        <v>50</v>
      </c>
      <c r="E2" s="10"/>
      <c r="F2" s="10"/>
    </row>
    <row r="3" spans="1:23" x14ac:dyDescent="0.4">
      <c r="C3" s="1" t="s">
        <v>480</v>
      </c>
      <c r="D3" s="1" t="s">
        <v>481</v>
      </c>
      <c r="E3" s="1" t="s">
        <v>482</v>
      </c>
      <c r="F3" s="1" t="s">
        <v>12</v>
      </c>
      <c r="G3" s="1" t="s">
        <v>273</v>
      </c>
      <c r="H3" s="1" t="s">
        <v>483</v>
      </c>
      <c r="I3" s="1" t="s">
        <v>484</v>
      </c>
      <c r="J3" s="1" t="s">
        <v>485</v>
      </c>
      <c r="K3" s="1" t="s">
        <v>486</v>
      </c>
      <c r="L3" s="1" t="s">
        <v>487</v>
      </c>
      <c r="M3" s="1" t="s">
        <v>488</v>
      </c>
      <c r="N3" s="1" t="s">
        <v>489</v>
      </c>
      <c r="O3" s="1" t="s">
        <v>21</v>
      </c>
      <c r="P3" s="1">
        <v>2024</v>
      </c>
      <c r="Q3" s="1">
        <v>17</v>
      </c>
      <c r="R3" s="1">
        <v>5</v>
      </c>
      <c r="S3" s="1">
        <v>695</v>
      </c>
      <c r="T3" s="1">
        <v>722</v>
      </c>
      <c r="U3" s="1" t="s">
        <v>490</v>
      </c>
      <c r="V3" s="1" t="str">
        <f>HYPERLINK("http://dx.doi.org/10.1007/s12273-024-1112-y","http://dx.doi.org/10.1007/s12273-024-1112-y")</f>
        <v>http://dx.doi.org/10.1007/s12273-024-1112-y</v>
      </c>
    </row>
    <row r="4" spans="1:23" ht="13.7" x14ac:dyDescent="0.4">
      <c r="A4" s="2"/>
      <c r="B4" s="2"/>
      <c r="C4" s="1" t="s">
        <v>901</v>
      </c>
      <c r="D4" s="1" t="s">
        <v>902</v>
      </c>
      <c r="E4" s="1" t="s">
        <v>903</v>
      </c>
      <c r="F4" s="1" t="s">
        <v>12</v>
      </c>
      <c r="G4" s="1" t="s">
        <v>262</v>
      </c>
      <c r="H4" s="1" t="s">
        <v>904</v>
      </c>
      <c r="I4" s="1" t="s">
        <v>905</v>
      </c>
      <c r="J4" s="1" t="s">
        <v>906</v>
      </c>
      <c r="K4" s="1" t="s">
        <v>907</v>
      </c>
      <c r="L4" s="1" t="s">
        <v>908</v>
      </c>
      <c r="M4" s="1" t="s">
        <v>909</v>
      </c>
      <c r="N4" s="1" t="s">
        <v>910</v>
      </c>
      <c r="O4" s="1" t="s">
        <v>19</v>
      </c>
      <c r="P4" s="1">
        <v>2024</v>
      </c>
      <c r="Q4" s="1">
        <v>17</v>
      </c>
      <c r="R4" s="1">
        <v>8</v>
      </c>
      <c r="S4" s="1">
        <v>1379</v>
      </c>
      <c r="T4" s="1">
        <v>1400</v>
      </c>
      <c r="U4" s="1" t="s">
        <v>911</v>
      </c>
      <c r="V4" s="1" t="str">
        <f>HYPERLINK("http://dx.doi.org/10.1007/s12273-024-1140-7","http://dx.doi.org/10.1007/s12273-024-1140-7")</f>
        <v>http://dx.doi.org/10.1007/s12273-024-1140-7</v>
      </c>
    </row>
    <row r="5" spans="1:23" x14ac:dyDescent="0.4">
      <c r="A5" s="10"/>
      <c r="B5" s="10"/>
      <c r="C5" s="1" t="s">
        <v>1622</v>
      </c>
      <c r="D5" s="1" t="s">
        <v>1623</v>
      </c>
      <c r="E5" s="1" t="s">
        <v>1624</v>
      </c>
      <c r="F5" s="1" t="s">
        <v>12</v>
      </c>
      <c r="G5" s="1" t="s">
        <v>1080</v>
      </c>
      <c r="H5" s="1" t="s">
        <v>1625</v>
      </c>
      <c r="I5" s="1" t="s">
        <v>1626</v>
      </c>
      <c r="J5" s="1" t="s">
        <v>1627</v>
      </c>
      <c r="K5" s="1" t="s">
        <v>1628</v>
      </c>
      <c r="L5" s="1" t="s">
        <v>1629</v>
      </c>
      <c r="M5" s="1" t="s">
        <v>1630</v>
      </c>
      <c r="N5" s="1" t="s">
        <v>1631</v>
      </c>
      <c r="O5" s="1" t="s">
        <v>1755</v>
      </c>
      <c r="P5" s="1">
        <v>2025</v>
      </c>
      <c r="Q5" s="1">
        <v>18</v>
      </c>
      <c r="R5" s="1">
        <v>1</v>
      </c>
      <c r="S5" s="1">
        <v>183</v>
      </c>
      <c r="T5" s="1">
        <v>206</v>
      </c>
      <c r="U5" s="1" t="s">
        <v>1632</v>
      </c>
      <c r="V5" s="1" t="str">
        <f>HYPERLINK("http://dx.doi.org/10.1007/s12273-024-1206-6","http://dx.doi.org/10.1007/s12273-024-1206-6")</f>
        <v>http://dx.doi.org/10.1007/s12273-024-1206-6</v>
      </c>
    </row>
    <row r="6" spans="1:23" ht="13.7" x14ac:dyDescent="0.4">
      <c r="A6" s="2" t="s">
        <v>112</v>
      </c>
      <c r="B6" s="2" t="s">
        <v>113</v>
      </c>
      <c r="E6" s="2"/>
      <c r="F6" s="2"/>
    </row>
    <row r="7" spans="1:23" x14ac:dyDescent="0.4">
      <c r="A7" s="10"/>
      <c r="B7" s="10"/>
      <c r="C7" s="1" t="s">
        <v>468</v>
      </c>
      <c r="D7" s="1" t="s">
        <v>469</v>
      </c>
      <c r="E7" s="1" t="s">
        <v>470</v>
      </c>
      <c r="F7" s="1" t="s">
        <v>12</v>
      </c>
      <c r="G7" s="1" t="s">
        <v>262</v>
      </c>
      <c r="H7" s="1" t="s">
        <v>471</v>
      </c>
      <c r="I7" s="1" t="s">
        <v>472</v>
      </c>
      <c r="J7" s="1" t="s">
        <v>473</v>
      </c>
      <c r="K7" s="1" t="s">
        <v>474</v>
      </c>
      <c r="L7" s="1" t="s">
        <v>475</v>
      </c>
      <c r="M7" s="1" t="s">
        <v>476</v>
      </c>
      <c r="N7" s="1" t="s">
        <v>477</v>
      </c>
      <c r="O7" s="1" t="s">
        <v>21</v>
      </c>
      <c r="P7" s="1">
        <v>2024</v>
      </c>
      <c r="Q7" s="1">
        <v>17</v>
      </c>
      <c r="R7" s="1">
        <v>5</v>
      </c>
      <c r="S7" s="1">
        <v>679</v>
      </c>
      <c r="T7" s="1">
        <v>694</v>
      </c>
      <c r="U7" s="1" t="s">
        <v>478</v>
      </c>
      <c r="V7" s="1" t="str">
        <f>HYPERLINK("http://dx.doi.org/10.1007/s12273-024-1110-0","http://dx.doi.org/10.1007/s12273-024-1110-0")</f>
        <v>http://dx.doi.org/10.1007/s12273-024-1110-0</v>
      </c>
    </row>
    <row r="8" spans="1:23" x14ac:dyDescent="0.4">
      <c r="C8" s="1" t="s">
        <v>1145</v>
      </c>
      <c r="D8" s="1" t="s">
        <v>1146</v>
      </c>
      <c r="E8" s="1" t="s">
        <v>1147</v>
      </c>
      <c r="F8" s="1" t="s">
        <v>12</v>
      </c>
      <c r="G8" s="1" t="s">
        <v>1080</v>
      </c>
      <c r="H8" s="1" t="s">
        <v>1148</v>
      </c>
      <c r="I8" s="1" t="s">
        <v>1149</v>
      </c>
      <c r="J8" s="1" t="s">
        <v>1150</v>
      </c>
      <c r="K8" s="1" t="s">
        <v>1151</v>
      </c>
      <c r="L8" s="1" t="s">
        <v>1152</v>
      </c>
      <c r="M8" s="1" t="s">
        <v>1153</v>
      </c>
      <c r="N8" s="1" t="s">
        <v>1154</v>
      </c>
      <c r="O8" s="1" t="s">
        <v>15</v>
      </c>
      <c r="P8" s="1">
        <v>2024</v>
      </c>
      <c r="Q8" s="1">
        <v>17</v>
      </c>
      <c r="R8" s="1">
        <v>10</v>
      </c>
      <c r="S8" s="1">
        <v>1767</v>
      </c>
      <c r="T8" s="1">
        <v>1787</v>
      </c>
      <c r="U8" s="1" t="s">
        <v>1155</v>
      </c>
      <c r="V8" s="1" t="str">
        <f>HYPERLINK("http://dx.doi.org/10.1007/s12273-024-1158-x","http://dx.doi.org/10.1007/s12273-024-1158-x")</f>
        <v>http://dx.doi.org/10.1007/s12273-024-1158-x</v>
      </c>
    </row>
    <row r="9" spans="1:23" x14ac:dyDescent="0.4">
      <c r="C9" s="1" t="s">
        <v>1169</v>
      </c>
      <c r="D9" s="1" t="s">
        <v>1170</v>
      </c>
      <c r="E9" s="1" t="s">
        <v>1171</v>
      </c>
      <c r="F9" s="1" t="s">
        <v>12</v>
      </c>
      <c r="G9" s="1" t="s">
        <v>1743</v>
      </c>
      <c r="H9" s="1" t="s">
        <v>1172</v>
      </c>
      <c r="I9" s="1" t="s">
        <v>1173</v>
      </c>
      <c r="J9" s="1" t="s">
        <v>1174</v>
      </c>
      <c r="K9" s="1" t="s">
        <v>1175</v>
      </c>
      <c r="L9" s="1" t="s">
        <v>1176</v>
      </c>
      <c r="M9" s="1" t="s">
        <v>1177</v>
      </c>
      <c r="N9" s="1" t="s">
        <v>1178</v>
      </c>
      <c r="O9" s="1" t="s">
        <v>15</v>
      </c>
      <c r="P9" s="1">
        <v>2024</v>
      </c>
      <c r="Q9" s="1">
        <v>17</v>
      </c>
      <c r="R9" s="1">
        <v>10</v>
      </c>
      <c r="S9" s="1">
        <v>1805</v>
      </c>
      <c r="T9" s="1">
        <v>1821</v>
      </c>
      <c r="U9" s="1" t="s">
        <v>1179</v>
      </c>
      <c r="V9" s="1" t="str">
        <f>HYPERLINK("http://dx.doi.org/10.1007/s12273-024-1161-2","http://dx.doi.org/10.1007/s12273-024-1161-2")</f>
        <v>http://dx.doi.org/10.1007/s12273-024-1161-2</v>
      </c>
    </row>
    <row r="10" spans="1:23" x14ac:dyDescent="0.4">
      <c r="C10" s="1" t="s">
        <v>1238</v>
      </c>
      <c r="D10" s="1" t="s">
        <v>1239</v>
      </c>
      <c r="E10" s="1" t="s">
        <v>1240</v>
      </c>
      <c r="F10" s="1" t="s">
        <v>12</v>
      </c>
      <c r="G10" s="1" t="s">
        <v>262</v>
      </c>
      <c r="H10" s="1" t="s">
        <v>1241</v>
      </c>
      <c r="I10" s="1" t="s">
        <v>1242</v>
      </c>
      <c r="J10" s="1" t="s">
        <v>1243</v>
      </c>
      <c r="K10" s="1" t="s">
        <v>1244</v>
      </c>
      <c r="L10" s="1" t="s">
        <v>1245</v>
      </c>
      <c r="M10" s="1" t="s">
        <v>1246</v>
      </c>
      <c r="N10" s="1" t="s">
        <v>1247</v>
      </c>
      <c r="O10" s="1" t="s">
        <v>14</v>
      </c>
      <c r="P10" s="1">
        <v>2024</v>
      </c>
      <c r="Q10" s="1">
        <v>17</v>
      </c>
      <c r="R10" s="1">
        <v>11</v>
      </c>
      <c r="S10" s="1">
        <v>1933</v>
      </c>
      <c r="T10" s="1">
        <v>1949</v>
      </c>
      <c r="U10" s="1" t="s">
        <v>1248</v>
      </c>
      <c r="V10" s="1" t="str">
        <f>HYPERLINK("http://dx.doi.org/10.1007/s12273-024-1180-z","http://dx.doi.org/10.1007/s12273-024-1180-z")</f>
        <v>http://dx.doi.org/10.1007/s12273-024-1180-z</v>
      </c>
    </row>
    <row r="11" spans="1:23" ht="13.7" x14ac:dyDescent="0.4">
      <c r="A11" s="2" t="s">
        <v>114</v>
      </c>
      <c r="B11" s="2" t="s">
        <v>115</v>
      </c>
      <c r="E11" s="2"/>
      <c r="F11" s="10"/>
    </row>
    <row r="12" spans="1:23" x14ac:dyDescent="0.4">
      <c r="A12" s="10"/>
      <c r="B12" s="10"/>
      <c r="C12" s="1" t="s">
        <v>1999</v>
      </c>
      <c r="D12" s="1" t="s">
        <v>2000</v>
      </c>
      <c r="E12" s="1" t="s">
        <v>2001</v>
      </c>
      <c r="F12" s="1" t="s">
        <v>12</v>
      </c>
      <c r="G12" s="1" t="s">
        <v>262</v>
      </c>
      <c r="H12" s="1" t="s">
        <v>2002</v>
      </c>
      <c r="I12" s="1" t="s">
        <v>2003</v>
      </c>
      <c r="J12" s="1" t="s">
        <v>2004</v>
      </c>
      <c r="K12" s="1" t="s">
        <v>2005</v>
      </c>
      <c r="L12" s="1" t="s">
        <v>2006</v>
      </c>
      <c r="M12" s="1" t="s">
        <v>2007</v>
      </c>
      <c r="N12" s="1" t="s">
        <v>2008</v>
      </c>
      <c r="O12" s="1" t="s">
        <v>15</v>
      </c>
      <c r="P12" s="1">
        <v>2025</v>
      </c>
      <c r="Q12" s="1">
        <v>18</v>
      </c>
      <c r="R12" s="1">
        <v>10</v>
      </c>
      <c r="S12" s="1">
        <v>2601</v>
      </c>
      <c r="T12" s="1">
        <v>2623</v>
      </c>
      <c r="U12" s="1" t="s">
        <v>2009</v>
      </c>
      <c r="V12" s="1" t="str">
        <f>HYPERLINK("http://dx.doi.org/10.1007/s12273-025-1342-7","http://dx.doi.org/10.1007/s12273-025-1342-7")</f>
        <v>http://dx.doi.org/10.1007/s12273-025-1342-7</v>
      </c>
    </row>
    <row r="13" spans="1:23" ht="13.7" x14ac:dyDescent="0.4">
      <c r="A13" s="2"/>
      <c r="B13" s="2"/>
      <c r="C13" s="1" t="s">
        <v>420</v>
      </c>
      <c r="D13" s="1" t="s">
        <v>421</v>
      </c>
      <c r="E13" s="1" t="s">
        <v>422</v>
      </c>
      <c r="F13" s="1" t="s">
        <v>12</v>
      </c>
      <c r="G13" s="1" t="s">
        <v>262</v>
      </c>
      <c r="H13" s="1" t="s">
        <v>423</v>
      </c>
      <c r="I13" s="1" t="s">
        <v>424</v>
      </c>
      <c r="J13" s="1" t="s">
        <v>425</v>
      </c>
      <c r="K13" s="1" t="s">
        <v>426</v>
      </c>
      <c r="L13" s="1" t="s">
        <v>427</v>
      </c>
      <c r="M13" s="1" t="s">
        <v>428</v>
      </c>
      <c r="N13" s="1" t="s">
        <v>429</v>
      </c>
      <c r="O13" s="1" t="s">
        <v>23</v>
      </c>
      <c r="P13" s="1">
        <v>2024</v>
      </c>
      <c r="Q13" s="1">
        <v>17</v>
      </c>
      <c r="R13" s="1">
        <v>4</v>
      </c>
      <c r="S13" s="1">
        <v>607</v>
      </c>
      <c r="T13" s="1">
        <v>624</v>
      </c>
      <c r="U13" s="1" t="s">
        <v>430</v>
      </c>
      <c r="V13" s="1" t="str">
        <f>HYPERLINK("http://dx.doi.org/10.1007/s12273-024-1104-y","http://dx.doi.org/10.1007/s12273-024-1104-y")</f>
        <v>http://dx.doi.org/10.1007/s12273-024-1104-y</v>
      </c>
    </row>
    <row r="14" spans="1:23" ht="13.7" x14ac:dyDescent="0.4">
      <c r="A14" s="2"/>
      <c r="B14" s="2"/>
      <c r="C14" s="1" t="s">
        <v>1299</v>
      </c>
      <c r="D14" s="1" t="s">
        <v>1300</v>
      </c>
      <c r="E14" s="1" t="s">
        <v>1301</v>
      </c>
      <c r="F14" s="1" t="s">
        <v>12</v>
      </c>
      <c r="G14" s="1" t="s">
        <v>262</v>
      </c>
      <c r="H14" s="1" t="s">
        <v>1302</v>
      </c>
      <c r="I14" s="1" t="s">
        <v>1303</v>
      </c>
      <c r="J14" s="1" t="s">
        <v>1304</v>
      </c>
      <c r="K14" s="1" t="s">
        <v>1305</v>
      </c>
      <c r="L14" s="1" t="s">
        <v>1306</v>
      </c>
      <c r="M14" s="1" t="s">
        <v>1307</v>
      </c>
      <c r="N14" s="1" t="s">
        <v>1308</v>
      </c>
      <c r="O14" s="1" t="s">
        <v>14</v>
      </c>
      <c r="P14" s="1">
        <v>2024</v>
      </c>
      <c r="Q14" s="1">
        <v>17</v>
      </c>
      <c r="R14" s="1">
        <v>11</v>
      </c>
      <c r="S14" s="1">
        <v>2017</v>
      </c>
      <c r="T14" s="1">
        <v>2042</v>
      </c>
      <c r="U14" s="1" t="s">
        <v>1309</v>
      </c>
      <c r="V14" s="1" t="str">
        <f>HYPERLINK("http://dx.doi.org/10.1007/s12273-024-1174-x","http://dx.doi.org/10.1007/s12273-024-1174-x")</f>
        <v>http://dx.doi.org/10.1007/s12273-024-1174-x</v>
      </c>
    </row>
    <row r="15" spans="1:23" ht="13.7" x14ac:dyDescent="0.4">
      <c r="A15" s="2"/>
      <c r="B15" s="2"/>
      <c r="C15" s="1" t="s">
        <v>2020</v>
      </c>
      <c r="D15" s="1" t="s">
        <v>2021</v>
      </c>
      <c r="E15" s="1" t="s">
        <v>2022</v>
      </c>
      <c r="F15" s="1" t="s">
        <v>12</v>
      </c>
      <c r="G15" s="1" t="s">
        <v>262</v>
      </c>
      <c r="H15" s="1" t="s">
        <v>2023</v>
      </c>
      <c r="I15" s="1" t="s">
        <v>2024</v>
      </c>
      <c r="J15" s="1" t="s">
        <v>2025</v>
      </c>
      <c r="K15" s="1" t="s">
        <v>2026</v>
      </c>
      <c r="L15" s="1" t="s">
        <v>2027</v>
      </c>
      <c r="M15" s="1" t="s">
        <v>2028</v>
      </c>
      <c r="N15" s="1" t="s">
        <v>2029</v>
      </c>
      <c r="O15" s="1" t="s">
        <v>14</v>
      </c>
      <c r="P15" s="1">
        <v>2025</v>
      </c>
      <c r="Q15" s="1">
        <v>18</v>
      </c>
      <c r="R15" s="1">
        <v>11</v>
      </c>
      <c r="S15" s="1">
        <v>3133</v>
      </c>
      <c r="T15" s="1">
        <v>3152</v>
      </c>
      <c r="U15" s="1" t="s">
        <v>2030</v>
      </c>
      <c r="V15" s="1" t="str">
        <f>HYPERLINK("http://dx.doi.org/10.1007/s12273-025-1365-0","http://dx.doi.org/10.1007/s12273-025-1365-0")</f>
        <v>http://dx.doi.org/10.1007/s12273-025-1365-0</v>
      </c>
    </row>
    <row r="16" spans="1:23" ht="13.7" x14ac:dyDescent="0.4">
      <c r="A16" s="2"/>
      <c r="B16" s="2"/>
      <c r="C16" s="1" t="s">
        <v>1576</v>
      </c>
      <c r="D16" s="1" t="s">
        <v>1577</v>
      </c>
      <c r="E16" s="1" t="s">
        <v>1578</v>
      </c>
      <c r="F16" s="1" t="s">
        <v>12</v>
      </c>
      <c r="G16" s="1" t="s">
        <v>1080</v>
      </c>
      <c r="H16" s="1" t="s">
        <v>1579</v>
      </c>
      <c r="I16" s="1" t="s">
        <v>1580</v>
      </c>
      <c r="J16" s="1" t="s">
        <v>1581</v>
      </c>
      <c r="K16" s="1" t="s">
        <v>1582</v>
      </c>
      <c r="L16" s="1" t="s">
        <v>1583</v>
      </c>
      <c r="M16" s="1" t="s">
        <v>1584</v>
      </c>
      <c r="N16" s="1" t="s">
        <v>1108</v>
      </c>
      <c r="O16" s="1" t="s">
        <v>1524</v>
      </c>
      <c r="P16" s="1">
        <v>2025</v>
      </c>
      <c r="Q16" s="1">
        <v>18</v>
      </c>
      <c r="R16" s="1">
        <v>1</v>
      </c>
      <c r="S16" s="1">
        <v>99</v>
      </c>
      <c r="T16" s="1">
        <v>121</v>
      </c>
      <c r="U16" s="1" t="s">
        <v>1585</v>
      </c>
      <c r="V16" s="1" t="str">
        <f>HYPERLINK("http://dx.doi.org/10.1007/s12273-024-1195-5","http://dx.doi.org/10.1007/s12273-024-1195-5")</f>
        <v>http://dx.doi.org/10.1007/s12273-024-1195-5</v>
      </c>
    </row>
    <row r="17" spans="1:22" ht="13.7" x14ac:dyDescent="0.4">
      <c r="A17" s="2"/>
      <c r="B17" s="2"/>
      <c r="C17" s="1" t="s">
        <v>2122</v>
      </c>
      <c r="D17" s="1" t="s">
        <v>2123</v>
      </c>
      <c r="E17" s="1" t="s">
        <v>2124</v>
      </c>
      <c r="F17" s="1" t="s">
        <v>12</v>
      </c>
      <c r="G17" s="1" t="s">
        <v>262</v>
      </c>
      <c r="H17" s="1" t="s">
        <v>2125</v>
      </c>
      <c r="I17" s="1" t="s">
        <v>2126</v>
      </c>
      <c r="J17" s="1" t="s">
        <v>2127</v>
      </c>
      <c r="K17" s="1" t="s">
        <v>2128</v>
      </c>
      <c r="L17" s="1" t="s">
        <v>2129</v>
      </c>
      <c r="M17" s="1" t="s">
        <v>2130</v>
      </c>
      <c r="N17" s="1" t="s">
        <v>1631</v>
      </c>
      <c r="O17" s="1" t="s">
        <v>15</v>
      </c>
      <c r="P17" s="1">
        <v>2025</v>
      </c>
      <c r="Q17" s="1">
        <v>18</v>
      </c>
      <c r="R17" s="1">
        <v>10</v>
      </c>
      <c r="S17" s="1">
        <v>2657</v>
      </c>
      <c r="T17" s="1">
        <v>2676</v>
      </c>
      <c r="U17" s="1" t="s">
        <v>2131</v>
      </c>
      <c r="V17" s="1" t="str">
        <f>HYPERLINK("http://dx.doi.org/10.1007/s12273-025-1326-7","http://dx.doi.org/10.1007/s12273-025-1326-7")</f>
        <v>http://dx.doi.org/10.1007/s12273-025-1326-7</v>
      </c>
    </row>
    <row r="18" spans="1:22" ht="13.7" x14ac:dyDescent="0.4">
      <c r="A18" s="2"/>
      <c r="B18" s="2"/>
      <c r="C18" s="1" t="s">
        <v>2588</v>
      </c>
      <c r="D18" s="1" t="s">
        <v>2589</v>
      </c>
      <c r="E18" s="1" t="s">
        <v>2590</v>
      </c>
      <c r="F18" s="1" t="s">
        <v>12</v>
      </c>
      <c r="G18" s="1" t="s">
        <v>262</v>
      </c>
      <c r="H18" s="1" t="s">
        <v>2591</v>
      </c>
      <c r="I18" s="1" t="s">
        <v>2592</v>
      </c>
      <c r="J18" s="1" t="s">
        <v>2593</v>
      </c>
      <c r="K18" s="1" t="s">
        <v>2594</v>
      </c>
      <c r="L18" s="1" t="s">
        <v>2595</v>
      </c>
      <c r="M18" s="1" t="s">
        <v>2596</v>
      </c>
      <c r="N18" s="1" t="s">
        <v>2597</v>
      </c>
      <c r="O18" s="1" t="s">
        <v>19</v>
      </c>
      <c r="P18" s="1">
        <v>2025</v>
      </c>
      <c r="Q18" s="1">
        <v>18</v>
      </c>
      <c r="R18" s="1">
        <v>8</v>
      </c>
      <c r="S18" s="1">
        <v>2175</v>
      </c>
      <c r="T18" s="1">
        <v>2199</v>
      </c>
      <c r="U18" s="1" t="s">
        <v>2598</v>
      </c>
      <c r="V18" s="1" t="str">
        <f>HYPERLINK("http://dx.doi.org/10.1007/s12273-025-1301-3","http://dx.doi.org/10.1007/s12273-025-1301-3")</f>
        <v>http://dx.doi.org/10.1007/s12273-025-1301-3</v>
      </c>
    </row>
    <row r="19" spans="1:22" x14ac:dyDescent="0.4">
      <c r="C19" s="1" t="s">
        <v>2781</v>
      </c>
      <c r="D19" s="1" t="s">
        <v>2782</v>
      </c>
      <c r="E19" s="1" t="s">
        <v>2783</v>
      </c>
      <c r="F19" s="1" t="s">
        <v>12</v>
      </c>
      <c r="G19" s="1" t="s">
        <v>262</v>
      </c>
      <c r="H19" s="1" t="s">
        <v>2784</v>
      </c>
      <c r="I19" s="1" t="s">
        <v>2785</v>
      </c>
      <c r="J19" s="1" t="s">
        <v>2786</v>
      </c>
      <c r="K19" s="1" t="s">
        <v>2787</v>
      </c>
      <c r="L19" s="1" t="s">
        <v>2788</v>
      </c>
      <c r="M19" s="1" t="s">
        <v>2789</v>
      </c>
      <c r="N19" s="1" t="s">
        <v>2790</v>
      </c>
      <c r="O19" s="1" t="s">
        <v>22</v>
      </c>
      <c r="P19" s="1">
        <v>2025</v>
      </c>
      <c r="Q19" s="1">
        <v>18</v>
      </c>
      <c r="R19" s="1">
        <v>6</v>
      </c>
      <c r="S19" s="1">
        <v>1409</v>
      </c>
      <c r="T19" s="1">
        <v>1433</v>
      </c>
      <c r="U19" s="1" t="s">
        <v>2791</v>
      </c>
      <c r="V19" s="1" t="str">
        <f>HYPERLINK("http://dx.doi.org/10.1007/s12273-025-1262-6","http://dx.doi.org/10.1007/s12273-025-1262-6")</f>
        <v>http://dx.doi.org/10.1007/s12273-025-1262-6</v>
      </c>
    </row>
    <row r="20" spans="1:22" x14ac:dyDescent="0.4">
      <c r="C20" s="1" t="s">
        <v>3053</v>
      </c>
      <c r="D20" s="1" t="s">
        <v>3054</v>
      </c>
      <c r="E20" s="1" t="s">
        <v>3055</v>
      </c>
      <c r="F20" s="1" t="s">
        <v>12</v>
      </c>
      <c r="G20" s="1" t="s">
        <v>262</v>
      </c>
      <c r="H20" s="1" t="s">
        <v>3056</v>
      </c>
      <c r="I20" s="1" t="s">
        <v>3057</v>
      </c>
      <c r="J20" s="1" t="s">
        <v>3058</v>
      </c>
      <c r="K20" s="1" t="s">
        <v>3059</v>
      </c>
      <c r="L20" s="1" t="s">
        <v>3060</v>
      </c>
      <c r="M20" s="1" t="s">
        <v>3061</v>
      </c>
      <c r="N20" s="1" t="s">
        <v>3062</v>
      </c>
      <c r="O20" s="1" t="s">
        <v>23</v>
      </c>
      <c r="P20" s="1">
        <v>2025</v>
      </c>
      <c r="Q20" s="1">
        <v>18</v>
      </c>
      <c r="R20" s="1">
        <v>4</v>
      </c>
      <c r="S20" s="1">
        <v>791</v>
      </c>
      <c r="T20" s="1">
        <v>827</v>
      </c>
      <c r="U20" s="1" t="s">
        <v>3063</v>
      </c>
      <c r="V20" s="1" t="str">
        <f>HYPERLINK("http://dx.doi.org/10.1007/s12273-025-1238-6","http://dx.doi.org/10.1007/s12273-025-1238-6")</f>
        <v>http://dx.doi.org/10.1007/s12273-025-1238-6</v>
      </c>
    </row>
    <row r="21" spans="1:22" x14ac:dyDescent="0.4">
      <c r="C21" s="1" t="s">
        <v>3242</v>
      </c>
      <c r="D21" s="1" t="s">
        <v>3243</v>
      </c>
      <c r="E21" s="1" t="s">
        <v>3244</v>
      </c>
      <c r="F21" s="1" t="s">
        <v>12</v>
      </c>
      <c r="G21" s="1" t="s">
        <v>262</v>
      </c>
      <c r="H21" s="1" t="s">
        <v>3245</v>
      </c>
      <c r="I21" s="1" t="s">
        <v>3246</v>
      </c>
      <c r="J21" s="1" t="s">
        <v>3247</v>
      </c>
      <c r="K21" s="1" t="s">
        <v>3248</v>
      </c>
      <c r="L21" s="1" t="s">
        <v>3249</v>
      </c>
      <c r="M21" s="1" t="s">
        <v>3250</v>
      </c>
      <c r="N21" s="1" t="s">
        <v>3251</v>
      </c>
      <c r="O21" s="1" t="s">
        <v>23</v>
      </c>
      <c r="P21" s="1">
        <v>2025</v>
      </c>
      <c r="Q21" s="1">
        <v>18</v>
      </c>
      <c r="R21" s="1">
        <v>4</v>
      </c>
      <c r="S21" s="1">
        <v>923</v>
      </c>
      <c r="T21" s="1">
        <v>936</v>
      </c>
      <c r="U21" s="1" t="s">
        <v>3252</v>
      </c>
      <c r="V21" s="1" t="str">
        <f>HYPERLINK("http://dx.doi.org/10.1007/s12273-025-1243-9","http://dx.doi.org/10.1007/s12273-025-1243-9")</f>
        <v>http://dx.doi.org/10.1007/s12273-025-1243-9</v>
      </c>
    </row>
    <row r="22" spans="1:22" x14ac:dyDescent="0.4">
      <c r="C22" s="1" t="s">
        <v>3279</v>
      </c>
      <c r="D22" s="1" t="s">
        <v>3280</v>
      </c>
      <c r="E22" s="1" t="s">
        <v>3281</v>
      </c>
      <c r="F22" s="1" t="s">
        <v>12</v>
      </c>
      <c r="G22" s="1" t="s">
        <v>262</v>
      </c>
      <c r="H22" s="1" t="s">
        <v>3282</v>
      </c>
      <c r="I22" s="1" t="s">
        <v>3283</v>
      </c>
      <c r="J22" s="1" t="s">
        <v>3284</v>
      </c>
      <c r="K22" s="1" t="s">
        <v>3285</v>
      </c>
      <c r="L22" s="1" t="s">
        <v>3286</v>
      </c>
      <c r="M22" s="1" t="s">
        <v>3287</v>
      </c>
      <c r="N22" s="1" t="s">
        <v>1320</v>
      </c>
      <c r="O22" s="1" t="s">
        <v>25</v>
      </c>
      <c r="P22" s="1">
        <v>2025</v>
      </c>
      <c r="Q22" s="1">
        <v>18</v>
      </c>
      <c r="R22" s="1">
        <v>3</v>
      </c>
      <c r="S22" s="1">
        <v>663</v>
      </c>
      <c r="T22" s="1">
        <v>678</v>
      </c>
      <c r="U22" s="1" t="s">
        <v>3288</v>
      </c>
      <c r="V22" s="1" t="str">
        <f>HYPERLINK("http://dx.doi.org/10.1007/s12273-025-1226-x","http://dx.doi.org/10.1007/s12273-025-1226-x")</f>
        <v>http://dx.doi.org/10.1007/s12273-025-1226-x</v>
      </c>
    </row>
    <row r="23" spans="1:22" x14ac:dyDescent="0.4">
      <c r="C23" s="1" t="s">
        <v>3314</v>
      </c>
      <c r="D23" s="1" t="s">
        <v>3315</v>
      </c>
      <c r="E23" s="1" t="s">
        <v>3316</v>
      </c>
      <c r="F23" s="1" t="s">
        <v>12</v>
      </c>
      <c r="G23" s="1" t="s">
        <v>262</v>
      </c>
      <c r="H23" s="1" t="s">
        <v>3317</v>
      </c>
      <c r="I23" s="1" t="s">
        <v>3318</v>
      </c>
      <c r="J23" s="1" t="s">
        <v>3319</v>
      </c>
      <c r="K23" s="1" t="s">
        <v>3320</v>
      </c>
      <c r="L23" s="1" t="s">
        <v>3321</v>
      </c>
      <c r="M23" s="1" t="s">
        <v>3322</v>
      </c>
      <c r="N23" s="1" t="s">
        <v>3323</v>
      </c>
      <c r="O23" s="1" t="s">
        <v>25</v>
      </c>
      <c r="P23" s="1">
        <v>2025</v>
      </c>
      <c r="Q23" s="1">
        <v>18</v>
      </c>
      <c r="R23" s="1">
        <v>3</v>
      </c>
      <c r="S23" s="1">
        <v>641</v>
      </c>
      <c r="T23" s="1">
        <v>661</v>
      </c>
      <c r="U23" s="1" t="s">
        <v>3324</v>
      </c>
      <c r="V23" s="1" t="str">
        <f>HYPERLINK("http://dx.doi.org/10.1007/s12273-025-1224-z","http://dx.doi.org/10.1007/s12273-025-1224-z")</f>
        <v>http://dx.doi.org/10.1007/s12273-025-1224-z</v>
      </c>
    </row>
    <row r="24" spans="1:22" x14ac:dyDescent="0.4">
      <c r="C24" s="1" t="s">
        <v>1701</v>
      </c>
      <c r="D24" s="1" t="s">
        <v>1702</v>
      </c>
      <c r="E24" s="1" t="s">
        <v>1703</v>
      </c>
      <c r="F24" s="1" t="s">
        <v>12</v>
      </c>
      <c r="G24" s="1" t="s">
        <v>262</v>
      </c>
      <c r="H24" s="1" t="s">
        <v>1704</v>
      </c>
      <c r="I24" s="1" t="s">
        <v>1705</v>
      </c>
      <c r="J24" s="1" t="s">
        <v>1706</v>
      </c>
      <c r="K24" s="1" t="s">
        <v>1707</v>
      </c>
      <c r="L24" s="1" t="s">
        <v>294</v>
      </c>
      <c r="M24" s="1" t="s">
        <v>1708</v>
      </c>
      <c r="N24" s="1" t="s">
        <v>1709</v>
      </c>
      <c r="O24" s="1" t="s">
        <v>26</v>
      </c>
      <c r="P24" s="1">
        <v>2025</v>
      </c>
      <c r="Q24" s="1">
        <v>18</v>
      </c>
      <c r="R24" s="1">
        <v>2</v>
      </c>
      <c r="S24" s="1">
        <v>371</v>
      </c>
      <c r="T24" s="1">
        <v>383</v>
      </c>
      <c r="U24" s="1" t="s">
        <v>1710</v>
      </c>
      <c r="V24" s="1" t="str">
        <f>HYPERLINK("http://dx.doi.org/10.1007/s12273-024-1215-5","http://dx.doi.org/10.1007/s12273-024-1215-5")</f>
        <v>http://dx.doi.org/10.1007/s12273-024-1215-5</v>
      </c>
    </row>
    <row r="25" spans="1:22" x14ac:dyDescent="0.4">
      <c r="C25" s="1" t="s">
        <v>1622</v>
      </c>
      <c r="D25" s="1" t="s">
        <v>1623</v>
      </c>
      <c r="E25" s="1" t="s">
        <v>1624</v>
      </c>
      <c r="F25" s="1" t="s">
        <v>12</v>
      </c>
      <c r="G25" s="1" t="s">
        <v>262</v>
      </c>
      <c r="H25" s="1" t="s">
        <v>1625</v>
      </c>
      <c r="I25" s="1" t="s">
        <v>1626</v>
      </c>
      <c r="J25" s="1" t="s">
        <v>1627</v>
      </c>
      <c r="K25" s="1" t="s">
        <v>1628</v>
      </c>
      <c r="L25" s="1" t="s">
        <v>1629</v>
      </c>
      <c r="M25" s="1" t="s">
        <v>1630</v>
      </c>
      <c r="N25" s="1" t="s">
        <v>1631</v>
      </c>
      <c r="O25" s="1" t="s">
        <v>24</v>
      </c>
      <c r="P25" s="1">
        <v>2025</v>
      </c>
      <c r="Q25" s="1">
        <v>18</v>
      </c>
      <c r="R25" s="1">
        <v>1</v>
      </c>
      <c r="S25" s="1">
        <v>183</v>
      </c>
      <c r="T25" s="1">
        <v>206</v>
      </c>
      <c r="U25" s="1" t="s">
        <v>1632</v>
      </c>
      <c r="V25" s="1" t="str">
        <f>HYPERLINK("http://dx.doi.org/10.1007/s12273-024-1206-6","http://dx.doi.org/10.1007/s12273-024-1206-6")</f>
        <v>http://dx.doi.org/10.1007/s12273-024-1206-6</v>
      </c>
    </row>
    <row r="26" spans="1:22" x14ac:dyDescent="0.4">
      <c r="C26" s="1" t="s">
        <v>1657</v>
      </c>
      <c r="D26" s="1" t="s">
        <v>1658</v>
      </c>
      <c r="E26" s="1" t="s">
        <v>1659</v>
      </c>
      <c r="F26" s="1" t="s">
        <v>12</v>
      </c>
      <c r="G26" s="1" t="s">
        <v>273</v>
      </c>
      <c r="H26" s="1" t="s">
        <v>1660</v>
      </c>
      <c r="I26" s="1" t="s">
        <v>1661</v>
      </c>
      <c r="J26" s="1" t="s">
        <v>1662</v>
      </c>
      <c r="K26" s="1" t="s">
        <v>1663</v>
      </c>
      <c r="L26" s="1" t="s">
        <v>1664</v>
      </c>
      <c r="M26" s="1" t="s">
        <v>1665</v>
      </c>
      <c r="N26" s="1" t="s">
        <v>1666</v>
      </c>
      <c r="O26" s="1" t="s">
        <v>26</v>
      </c>
      <c r="P26" s="1">
        <v>2025</v>
      </c>
      <c r="Q26" s="1">
        <v>18</v>
      </c>
      <c r="R26" s="1">
        <v>2</v>
      </c>
      <c r="S26" s="1">
        <v>259</v>
      </c>
      <c r="T26" s="1">
        <v>279</v>
      </c>
      <c r="U26" s="1" t="s">
        <v>1667</v>
      </c>
      <c r="V26" s="1" t="str">
        <f>HYPERLINK("http://dx.doi.org/10.1007/s12273-024-1210-x","http://dx.doi.org/10.1007/s12273-024-1210-x")</f>
        <v>http://dx.doi.org/10.1007/s12273-024-1210-x</v>
      </c>
    </row>
    <row r="27" spans="1:22" ht="13.7" x14ac:dyDescent="0.4">
      <c r="A27" s="2" t="s">
        <v>67</v>
      </c>
      <c r="B27" s="2" t="s">
        <v>116</v>
      </c>
      <c r="E27" s="2"/>
      <c r="F27" s="10"/>
    </row>
    <row r="28" spans="1:22" ht="13.7" x14ac:dyDescent="0.4">
      <c r="A28" s="2"/>
      <c r="B28" s="2"/>
      <c r="C28" s="1" t="s">
        <v>1795</v>
      </c>
      <c r="D28" s="1" t="s">
        <v>1796</v>
      </c>
      <c r="E28" s="1" t="s">
        <v>1797</v>
      </c>
      <c r="F28" s="1" t="s">
        <v>12</v>
      </c>
      <c r="G28" s="1" t="s">
        <v>262</v>
      </c>
      <c r="H28" s="1" t="s">
        <v>1798</v>
      </c>
      <c r="I28" s="1" t="s">
        <v>1799</v>
      </c>
      <c r="J28" s="1" t="s">
        <v>1800</v>
      </c>
      <c r="K28" s="1" t="s">
        <v>1801</v>
      </c>
      <c r="L28" s="1" t="s">
        <v>1802</v>
      </c>
      <c r="M28" s="1" t="s">
        <v>1803</v>
      </c>
      <c r="N28" s="1" t="s">
        <v>1804</v>
      </c>
      <c r="O28" s="1" t="s">
        <v>27</v>
      </c>
      <c r="P28" s="1">
        <v>2025</v>
      </c>
      <c r="Q28" s="1">
        <v>18</v>
      </c>
      <c r="R28" s="1">
        <v>12</v>
      </c>
      <c r="S28" s="1">
        <v>3225</v>
      </c>
      <c r="T28" s="1">
        <v>3246</v>
      </c>
      <c r="U28" s="1" t="s">
        <v>1805</v>
      </c>
      <c r="V28" s="1" t="str">
        <f>HYPERLINK("http://dx.doi.org/10.1007/s12273-025-1369-9","http://dx.doi.org/10.1007/s12273-025-1369-9")</f>
        <v>http://dx.doi.org/10.1007/s12273-025-1369-9</v>
      </c>
    </row>
    <row r="29" spans="1:22" ht="13.7" x14ac:dyDescent="0.4">
      <c r="A29" s="2"/>
      <c r="B29" s="2"/>
      <c r="C29" s="1" t="s">
        <v>3267</v>
      </c>
      <c r="D29" s="1" t="s">
        <v>3268</v>
      </c>
      <c r="E29" s="1" t="s">
        <v>3269</v>
      </c>
      <c r="F29" s="1" t="s">
        <v>12</v>
      </c>
      <c r="G29" s="1" t="s">
        <v>262</v>
      </c>
      <c r="H29" s="1" t="s">
        <v>3270</v>
      </c>
      <c r="I29" s="1" t="s">
        <v>3271</v>
      </c>
      <c r="J29" s="1" t="s">
        <v>3272</v>
      </c>
      <c r="K29" s="1" t="s">
        <v>3273</v>
      </c>
      <c r="L29" s="1" t="s">
        <v>3274</v>
      </c>
      <c r="M29" s="1" t="s">
        <v>3275</v>
      </c>
      <c r="N29" s="1" t="s">
        <v>3276</v>
      </c>
      <c r="O29" s="1" t="s">
        <v>25</v>
      </c>
      <c r="P29" s="1">
        <v>2025</v>
      </c>
      <c r="Q29" s="1">
        <v>18</v>
      </c>
      <c r="R29" s="1">
        <v>3</v>
      </c>
      <c r="S29" s="1">
        <v>619</v>
      </c>
      <c r="T29" s="1">
        <v>639</v>
      </c>
      <c r="U29" s="1" t="s">
        <v>3277</v>
      </c>
      <c r="V29" s="1" t="str">
        <f>HYPERLINK("http://dx.doi.org/10.1007/s12273-025-1232-z","http://dx.doi.org/10.1007/s12273-025-1232-z")</f>
        <v>http://dx.doi.org/10.1007/s12273-025-1232-z</v>
      </c>
    </row>
    <row r="30" spans="1:22" x14ac:dyDescent="0.4">
      <c r="C30" s="1" t="s">
        <v>1712</v>
      </c>
      <c r="D30" s="1" t="s">
        <v>1713</v>
      </c>
      <c r="E30" s="1" t="s">
        <v>1714</v>
      </c>
      <c r="F30" s="1" t="s">
        <v>12</v>
      </c>
      <c r="G30" s="1" t="s">
        <v>262</v>
      </c>
      <c r="H30" s="1" t="s">
        <v>1715</v>
      </c>
      <c r="I30" s="1" t="s">
        <v>1716</v>
      </c>
      <c r="J30" s="1" t="s">
        <v>1717</v>
      </c>
      <c r="K30" s="1" t="s">
        <v>1718</v>
      </c>
      <c r="L30" s="1" t="s">
        <v>1719</v>
      </c>
      <c r="M30" s="1" t="s">
        <v>1720</v>
      </c>
      <c r="N30" s="1" t="s">
        <v>1721</v>
      </c>
      <c r="O30" s="1" t="s">
        <v>26</v>
      </c>
      <c r="P30" s="1">
        <v>2025</v>
      </c>
      <c r="Q30" s="1">
        <v>18</v>
      </c>
      <c r="R30" s="1">
        <v>2</v>
      </c>
      <c r="S30" s="1">
        <v>449</v>
      </c>
      <c r="T30" s="1">
        <v>471</v>
      </c>
      <c r="U30" s="1" t="s">
        <v>1722</v>
      </c>
      <c r="V30" s="1" t="str">
        <f>HYPERLINK("http://dx.doi.org/10.1007/s12273-024-1217-3","http://dx.doi.org/10.1007/s12273-024-1217-3")</f>
        <v>http://dx.doi.org/10.1007/s12273-024-1217-3</v>
      </c>
    </row>
    <row r="31" spans="1:22" ht="13.7" x14ac:dyDescent="0.4">
      <c r="A31" s="2" t="s">
        <v>117</v>
      </c>
      <c r="B31" s="2" t="s">
        <v>118</v>
      </c>
      <c r="E31" s="10"/>
      <c r="F31" s="10"/>
    </row>
    <row r="32" spans="1:22" ht="13.7" x14ac:dyDescent="0.4">
      <c r="A32" s="2"/>
      <c r="B32" s="2"/>
      <c r="C32" s="1" t="s">
        <v>867</v>
      </c>
      <c r="D32" s="1" t="s">
        <v>868</v>
      </c>
      <c r="E32" s="1" t="s">
        <v>869</v>
      </c>
      <c r="F32" s="1" t="s">
        <v>12</v>
      </c>
      <c r="G32" s="1" t="s">
        <v>262</v>
      </c>
      <c r="H32" s="1" t="s">
        <v>870</v>
      </c>
      <c r="I32" s="1" t="s">
        <v>871</v>
      </c>
      <c r="J32" s="1" t="s">
        <v>872</v>
      </c>
      <c r="K32" s="1" t="s">
        <v>873</v>
      </c>
      <c r="L32" s="1" t="s">
        <v>874</v>
      </c>
      <c r="M32" s="1" t="s">
        <v>875</v>
      </c>
      <c r="N32" s="1" t="s">
        <v>876</v>
      </c>
      <c r="O32" s="1" t="s">
        <v>19</v>
      </c>
      <c r="P32" s="1">
        <v>2024</v>
      </c>
      <c r="Q32" s="1">
        <v>17</v>
      </c>
      <c r="R32" s="1">
        <v>8</v>
      </c>
      <c r="S32" s="1">
        <v>1323</v>
      </c>
      <c r="T32" s="1">
        <v>1333</v>
      </c>
      <c r="U32" s="1" t="s">
        <v>877</v>
      </c>
      <c r="V32" s="1" t="str">
        <f>HYPERLINK("http://dx.doi.org/10.1007/s12273-024-1166-x","http://dx.doi.org/10.1007/s12273-024-1166-x")</f>
        <v>http://dx.doi.org/10.1007/s12273-024-1166-x</v>
      </c>
    </row>
    <row r="33" spans="1:22" ht="13.7" x14ac:dyDescent="0.4">
      <c r="A33" s="2" t="s">
        <v>185</v>
      </c>
      <c r="B33" s="2" t="s">
        <v>186</v>
      </c>
      <c r="E33" s="11"/>
    </row>
    <row r="34" spans="1:22" ht="13.7" x14ac:dyDescent="0.4">
      <c r="A34" s="2"/>
      <c r="B34" s="2"/>
      <c r="C34" s="1" t="s">
        <v>1795</v>
      </c>
      <c r="D34" s="1" t="s">
        <v>1796</v>
      </c>
      <c r="E34" s="1" t="s">
        <v>1797</v>
      </c>
      <c r="F34" s="1" t="s">
        <v>12</v>
      </c>
      <c r="G34" s="1" t="s">
        <v>262</v>
      </c>
      <c r="H34" s="1" t="s">
        <v>1798</v>
      </c>
      <c r="I34" s="1" t="s">
        <v>1799</v>
      </c>
      <c r="J34" s="1" t="s">
        <v>1800</v>
      </c>
      <c r="K34" s="1" t="s">
        <v>1801</v>
      </c>
      <c r="L34" s="1" t="s">
        <v>1802</v>
      </c>
      <c r="M34" s="1" t="s">
        <v>1803</v>
      </c>
      <c r="N34" s="1" t="s">
        <v>1804</v>
      </c>
      <c r="O34" s="1" t="s">
        <v>27</v>
      </c>
      <c r="P34" s="1">
        <v>2025</v>
      </c>
      <c r="Q34" s="1">
        <v>18</v>
      </c>
      <c r="R34" s="1">
        <v>12</v>
      </c>
      <c r="S34" s="1">
        <v>3225</v>
      </c>
      <c r="T34" s="1">
        <v>3246</v>
      </c>
      <c r="U34" s="1" t="s">
        <v>1805</v>
      </c>
      <c r="V34" s="1" t="str">
        <f>HYPERLINK("http://dx.doi.org/10.1007/s12273-025-1369-9","http://dx.doi.org/10.1007/s12273-025-1369-9")</f>
        <v>http://dx.doi.org/10.1007/s12273-025-1369-9</v>
      </c>
    </row>
    <row r="35" spans="1:22" ht="13.7" x14ac:dyDescent="0.4">
      <c r="A35" s="2"/>
      <c r="B35" s="2"/>
      <c r="C35" s="1" t="s">
        <v>901</v>
      </c>
      <c r="D35" s="1" t="s">
        <v>902</v>
      </c>
      <c r="E35" s="1" t="s">
        <v>903</v>
      </c>
      <c r="F35" s="1" t="s">
        <v>12</v>
      </c>
      <c r="G35" s="1" t="s">
        <v>262</v>
      </c>
      <c r="H35" s="1" t="s">
        <v>904</v>
      </c>
      <c r="I35" s="1" t="s">
        <v>905</v>
      </c>
      <c r="J35" s="1" t="s">
        <v>906</v>
      </c>
      <c r="K35" s="1" t="s">
        <v>907</v>
      </c>
      <c r="L35" s="1" t="s">
        <v>908</v>
      </c>
      <c r="M35" s="1" t="s">
        <v>909</v>
      </c>
      <c r="N35" s="1" t="s">
        <v>910</v>
      </c>
      <c r="O35" s="1" t="s">
        <v>19</v>
      </c>
      <c r="P35" s="1">
        <v>2024</v>
      </c>
      <c r="Q35" s="1">
        <v>17</v>
      </c>
      <c r="R35" s="1">
        <v>8</v>
      </c>
      <c r="S35" s="1">
        <v>1379</v>
      </c>
      <c r="T35" s="1">
        <v>1400</v>
      </c>
      <c r="U35" s="1" t="s">
        <v>911</v>
      </c>
      <c r="V35" s="1" t="str">
        <f>HYPERLINK("http://dx.doi.org/10.1007/s12273-024-1140-7","http://dx.doi.org/10.1007/s12273-024-1140-7")</f>
        <v>http://dx.doi.org/10.1007/s12273-024-1140-7</v>
      </c>
    </row>
    <row r="36" spans="1:22" ht="13.7" x14ac:dyDescent="0.4">
      <c r="A36" s="2"/>
      <c r="B36" s="2"/>
      <c r="C36" s="1" t="s">
        <v>1274</v>
      </c>
      <c r="D36" s="1" t="s">
        <v>1275</v>
      </c>
      <c r="E36" s="1" t="s">
        <v>1276</v>
      </c>
      <c r="F36" s="1" t="s">
        <v>12</v>
      </c>
      <c r="G36" s="1" t="s">
        <v>1080</v>
      </c>
      <c r="H36" s="1" t="s">
        <v>1277</v>
      </c>
      <c r="I36" s="1" t="s">
        <v>1278</v>
      </c>
      <c r="J36" s="1" t="s">
        <v>1279</v>
      </c>
      <c r="K36" s="1" t="s">
        <v>1280</v>
      </c>
      <c r="L36" s="1" t="s">
        <v>1281</v>
      </c>
      <c r="M36" s="1" t="s">
        <v>1282</v>
      </c>
      <c r="N36" s="1" t="s">
        <v>1283</v>
      </c>
      <c r="O36" s="1" t="s">
        <v>1284</v>
      </c>
      <c r="P36" s="1">
        <v>2024</v>
      </c>
      <c r="Q36" s="1">
        <v>17</v>
      </c>
      <c r="R36" s="1">
        <v>11</v>
      </c>
      <c r="S36" s="1">
        <v>1989</v>
      </c>
      <c r="T36" s="1">
        <v>2006</v>
      </c>
      <c r="U36" s="1" t="s">
        <v>1285</v>
      </c>
      <c r="V36" s="1" t="str">
        <f>HYPERLINK("http://dx.doi.org/10.1007/s12273-024-1168-8","http://dx.doi.org/10.1007/s12273-024-1168-8")</f>
        <v>http://dx.doi.org/10.1007/s12273-024-1168-8</v>
      </c>
    </row>
    <row r="37" spans="1:22" x14ac:dyDescent="0.4">
      <c r="C37" s="1" t="s">
        <v>1868</v>
      </c>
      <c r="D37" s="1" t="s">
        <v>1869</v>
      </c>
      <c r="E37" s="1" t="s">
        <v>1870</v>
      </c>
      <c r="F37" s="1" t="s">
        <v>12</v>
      </c>
      <c r="G37" s="1" t="s">
        <v>262</v>
      </c>
      <c r="H37" s="1" t="s">
        <v>1871</v>
      </c>
      <c r="I37" s="1" t="s">
        <v>1872</v>
      </c>
      <c r="J37" s="1" t="s">
        <v>1873</v>
      </c>
      <c r="K37" s="1" t="s">
        <v>1874</v>
      </c>
      <c r="L37" s="1" t="s">
        <v>1875</v>
      </c>
      <c r="M37" s="1" t="s">
        <v>1876</v>
      </c>
      <c r="N37" s="1" t="s">
        <v>1877</v>
      </c>
      <c r="O37" s="1" t="s">
        <v>27</v>
      </c>
      <c r="P37" s="1">
        <v>2025</v>
      </c>
      <c r="Q37" s="1">
        <v>18</v>
      </c>
      <c r="R37" s="1">
        <v>12</v>
      </c>
      <c r="S37" s="1">
        <v>3201</v>
      </c>
      <c r="T37" s="1">
        <v>3224</v>
      </c>
      <c r="U37" s="1" t="s">
        <v>1878</v>
      </c>
      <c r="V37" s="1" t="str">
        <f>HYPERLINK("http://dx.doi.org/10.1007/s12273-025-1364-1","http://dx.doi.org/10.1007/s12273-025-1364-1")</f>
        <v>http://dx.doi.org/10.1007/s12273-025-1364-1</v>
      </c>
    </row>
    <row r="38" spans="1:22" x14ac:dyDescent="0.4">
      <c r="C38" s="1" t="s">
        <v>2313</v>
      </c>
      <c r="D38" s="1" t="s">
        <v>2314</v>
      </c>
      <c r="E38" s="1" t="s">
        <v>2315</v>
      </c>
      <c r="F38" s="1" t="s">
        <v>12</v>
      </c>
      <c r="G38" s="1" t="s">
        <v>262</v>
      </c>
      <c r="H38" s="1" t="s">
        <v>2316</v>
      </c>
      <c r="I38" s="1" t="s">
        <v>2317</v>
      </c>
      <c r="J38" s="1" t="s">
        <v>2318</v>
      </c>
      <c r="K38" s="1" t="s">
        <v>2319</v>
      </c>
      <c r="L38" s="1" t="s">
        <v>2320</v>
      </c>
      <c r="M38" s="1" t="s">
        <v>2321</v>
      </c>
      <c r="N38" s="1" t="s">
        <v>2322</v>
      </c>
      <c r="O38" s="1" t="s">
        <v>16</v>
      </c>
      <c r="P38" s="1">
        <v>2025</v>
      </c>
      <c r="Q38" s="1">
        <v>18</v>
      </c>
      <c r="R38" s="1">
        <v>9</v>
      </c>
      <c r="S38" s="1">
        <v>2491</v>
      </c>
      <c r="T38" s="1">
        <v>2514</v>
      </c>
      <c r="U38" s="1" t="s">
        <v>2323</v>
      </c>
      <c r="V38" s="1" t="str">
        <f>HYPERLINK("http://dx.doi.org/10.1007/s12273-025-1323-x","http://dx.doi.org/10.1007/s12273-025-1323-x")</f>
        <v>http://dx.doi.org/10.1007/s12273-025-1323-x</v>
      </c>
    </row>
    <row r="39" spans="1:22" x14ac:dyDescent="0.4">
      <c r="C39" s="1" t="s">
        <v>2360</v>
      </c>
      <c r="D39" s="1" t="s">
        <v>2361</v>
      </c>
      <c r="E39" s="1" t="s">
        <v>2362</v>
      </c>
      <c r="F39" s="1" t="s">
        <v>12</v>
      </c>
      <c r="G39" s="1" t="s">
        <v>262</v>
      </c>
      <c r="H39" s="1" t="s">
        <v>2363</v>
      </c>
      <c r="I39" s="1" t="s">
        <v>2364</v>
      </c>
      <c r="J39" s="1" t="s">
        <v>2365</v>
      </c>
      <c r="K39" s="1" t="s">
        <v>2366</v>
      </c>
      <c r="L39" s="1" t="s">
        <v>1306</v>
      </c>
      <c r="M39" s="1" t="s">
        <v>2367</v>
      </c>
      <c r="N39" s="1" t="s">
        <v>2368</v>
      </c>
      <c r="O39" s="1" t="s">
        <v>19</v>
      </c>
      <c r="P39" s="1">
        <v>2025</v>
      </c>
      <c r="Q39" s="1">
        <v>18</v>
      </c>
      <c r="R39" s="1">
        <v>8</v>
      </c>
      <c r="S39" s="1">
        <v>2135</v>
      </c>
      <c r="T39" s="1">
        <v>2150</v>
      </c>
      <c r="U39" s="1" t="s">
        <v>2369</v>
      </c>
      <c r="V39" s="1" t="str">
        <f>HYPERLINK("http://dx.doi.org/10.1007/s12273-025-1296-9","http://dx.doi.org/10.1007/s12273-025-1296-9")</f>
        <v>http://dx.doi.org/10.1007/s12273-025-1296-9</v>
      </c>
    </row>
    <row r="40" spans="1:22" x14ac:dyDescent="0.4">
      <c r="C40" s="1" t="s">
        <v>2781</v>
      </c>
      <c r="D40" s="1" t="s">
        <v>2782</v>
      </c>
      <c r="E40" s="1" t="s">
        <v>2783</v>
      </c>
      <c r="F40" s="1" t="s">
        <v>12</v>
      </c>
      <c r="G40" s="1" t="s">
        <v>262</v>
      </c>
      <c r="H40" s="1" t="s">
        <v>2784</v>
      </c>
      <c r="I40" s="1" t="s">
        <v>2785</v>
      </c>
      <c r="J40" s="1" t="s">
        <v>2786</v>
      </c>
      <c r="K40" s="1" t="s">
        <v>2787</v>
      </c>
      <c r="L40" s="1" t="s">
        <v>2788</v>
      </c>
      <c r="M40" s="1" t="s">
        <v>2789</v>
      </c>
      <c r="N40" s="1" t="s">
        <v>2790</v>
      </c>
      <c r="O40" s="1" t="s">
        <v>22</v>
      </c>
      <c r="P40" s="1">
        <v>2025</v>
      </c>
      <c r="Q40" s="1">
        <v>18</v>
      </c>
      <c r="R40" s="1">
        <v>6</v>
      </c>
      <c r="S40" s="1">
        <v>1409</v>
      </c>
      <c r="T40" s="1">
        <v>1433</v>
      </c>
      <c r="U40" s="1" t="s">
        <v>2791</v>
      </c>
      <c r="V40" s="1" t="str">
        <f>HYPERLINK("http://dx.doi.org/10.1007/s12273-025-1262-6","http://dx.doi.org/10.1007/s12273-025-1262-6")</f>
        <v>http://dx.doi.org/10.1007/s12273-025-1262-6</v>
      </c>
    </row>
    <row r="41" spans="1:22" x14ac:dyDescent="0.4">
      <c r="C41" s="1" t="s">
        <v>3018</v>
      </c>
      <c r="D41" s="1" t="s">
        <v>3019</v>
      </c>
      <c r="E41" s="1" t="s">
        <v>3020</v>
      </c>
      <c r="F41" s="1" t="s">
        <v>12</v>
      </c>
      <c r="G41" s="1" t="s">
        <v>262</v>
      </c>
      <c r="H41" s="1" t="s">
        <v>3021</v>
      </c>
      <c r="I41" s="1" t="s">
        <v>3022</v>
      </c>
      <c r="J41" s="1" t="s">
        <v>3023</v>
      </c>
      <c r="K41" s="1" t="s">
        <v>3024</v>
      </c>
      <c r="L41" s="1" t="s">
        <v>3025</v>
      </c>
      <c r="M41" s="1" t="s">
        <v>3026</v>
      </c>
      <c r="N41" s="1" t="s">
        <v>3027</v>
      </c>
      <c r="O41" s="1" t="s">
        <v>22</v>
      </c>
      <c r="P41" s="1">
        <v>2025</v>
      </c>
      <c r="Q41" s="1">
        <v>18</v>
      </c>
      <c r="R41" s="1">
        <v>6</v>
      </c>
      <c r="S41" s="1">
        <v>1231</v>
      </c>
      <c r="T41" s="1">
        <v>1250</v>
      </c>
      <c r="U41" s="1" t="s">
        <v>3028</v>
      </c>
      <c r="V41" s="1" t="str">
        <f>HYPERLINK("http://dx.doi.org/10.1007/s12273-025-1261-7","http://dx.doi.org/10.1007/s12273-025-1261-7")</f>
        <v>http://dx.doi.org/10.1007/s12273-025-1261-7</v>
      </c>
    </row>
    <row r="42" spans="1:22" x14ac:dyDescent="0.4">
      <c r="C42" s="1" t="s">
        <v>3156</v>
      </c>
      <c r="D42" s="1" t="s">
        <v>3157</v>
      </c>
      <c r="E42" s="1" t="s">
        <v>3158</v>
      </c>
      <c r="F42" s="1" t="s">
        <v>12</v>
      </c>
      <c r="G42" s="1" t="s">
        <v>262</v>
      </c>
      <c r="H42" s="1" t="s">
        <v>3159</v>
      </c>
      <c r="I42" s="1" t="s">
        <v>3160</v>
      </c>
      <c r="J42" s="1" t="s">
        <v>3161</v>
      </c>
      <c r="K42" s="1" t="s">
        <v>3162</v>
      </c>
      <c r="L42" s="1" t="s">
        <v>3163</v>
      </c>
      <c r="M42" s="1" t="s">
        <v>2332</v>
      </c>
      <c r="N42" s="1" t="s">
        <v>2333</v>
      </c>
      <c r="O42" s="1" t="s">
        <v>23</v>
      </c>
      <c r="P42" s="1">
        <v>2025</v>
      </c>
      <c r="Q42" s="1">
        <v>18</v>
      </c>
      <c r="R42" s="1">
        <v>4</v>
      </c>
      <c r="S42" s="1">
        <v>699</v>
      </c>
      <c r="T42" s="1">
        <v>720</v>
      </c>
      <c r="U42" s="1" t="s">
        <v>3164</v>
      </c>
      <c r="V42" s="1" t="str">
        <f>HYPERLINK("http://dx.doi.org/10.1007/s12273-025-1246-6","http://dx.doi.org/10.1007/s12273-025-1246-6")</f>
        <v>http://dx.doi.org/10.1007/s12273-025-1246-6</v>
      </c>
    </row>
    <row r="43" spans="1:22" x14ac:dyDescent="0.4">
      <c r="C43" s="1" t="s">
        <v>1576</v>
      </c>
      <c r="D43" s="1" t="s">
        <v>1577</v>
      </c>
      <c r="E43" s="1" t="s">
        <v>1578</v>
      </c>
      <c r="F43" s="1" t="s">
        <v>12</v>
      </c>
      <c r="G43" s="1" t="s">
        <v>262</v>
      </c>
      <c r="H43" s="1" t="s">
        <v>1579</v>
      </c>
      <c r="I43" s="1" t="s">
        <v>1580</v>
      </c>
      <c r="J43" s="1" t="s">
        <v>1581</v>
      </c>
      <c r="K43" s="1" t="s">
        <v>1582</v>
      </c>
      <c r="L43" s="1" t="s">
        <v>1583</v>
      </c>
      <c r="M43" s="1" t="s">
        <v>1584</v>
      </c>
      <c r="N43" s="1" t="s">
        <v>1108</v>
      </c>
      <c r="O43" s="1" t="s">
        <v>24</v>
      </c>
      <c r="P43" s="1">
        <v>2025</v>
      </c>
      <c r="Q43" s="1">
        <v>18</v>
      </c>
      <c r="R43" s="1">
        <v>1</v>
      </c>
      <c r="S43" s="1">
        <v>99</v>
      </c>
      <c r="T43" s="1">
        <v>121</v>
      </c>
      <c r="U43" s="1" t="s">
        <v>1585</v>
      </c>
      <c r="V43" s="1" t="str">
        <f>HYPERLINK("http://dx.doi.org/10.1007/s12273-024-1195-5","http://dx.doi.org/10.1007/s12273-024-1195-5")</f>
        <v>http://dx.doi.org/10.1007/s12273-024-1195-5</v>
      </c>
    </row>
    <row r="44" spans="1:22" ht="13.7" x14ac:dyDescent="0.4">
      <c r="A44" s="2"/>
      <c r="B44" s="2"/>
      <c r="C44" s="1" t="s">
        <v>3559</v>
      </c>
      <c r="D44" s="1" t="s">
        <v>3560</v>
      </c>
      <c r="E44" s="1" t="s">
        <v>3561</v>
      </c>
      <c r="F44" s="1" t="s">
        <v>12</v>
      </c>
      <c r="G44" s="1" t="s">
        <v>273</v>
      </c>
      <c r="H44" s="1" t="s">
        <v>3562</v>
      </c>
      <c r="I44" s="1" t="s">
        <v>3563</v>
      </c>
      <c r="J44" s="1" t="s">
        <v>3564</v>
      </c>
      <c r="K44" s="1" t="s">
        <v>3565</v>
      </c>
      <c r="L44" s="1" t="s">
        <v>3566</v>
      </c>
      <c r="M44" s="1" t="s">
        <v>3567</v>
      </c>
      <c r="N44" s="1" t="s">
        <v>357</v>
      </c>
      <c r="O44" s="1" t="s">
        <v>23</v>
      </c>
      <c r="P44" s="1">
        <v>2025</v>
      </c>
      <c r="Q44" s="1">
        <v>18</v>
      </c>
      <c r="R44" s="1">
        <v>4</v>
      </c>
      <c r="S44" s="1">
        <v>721</v>
      </c>
      <c r="T44" s="1">
        <v>746</v>
      </c>
      <c r="U44" s="1" t="s">
        <v>3568</v>
      </c>
      <c r="V44" s="1" t="str">
        <f>HYPERLINK("http://dx.doi.org/10.1007/s12273-025-1230-1","http://dx.doi.org/10.1007/s12273-025-1230-1")</f>
        <v>http://dx.doi.org/10.1007/s12273-025-1230-1</v>
      </c>
    </row>
    <row r="45" spans="1:22" x14ac:dyDescent="0.4">
      <c r="C45" s="1" t="s">
        <v>1657</v>
      </c>
      <c r="D45" s="1" t="s">
        <v>1658</v>
      </c>
      <c r="E45" s="1" t="s">
        <v>1659</v>
      </c>
      <c r="F45" s="1" t="s">
        <v>12</v>
      </c>
      <c r="G45" s="1" t="s">
        <v>273</v>
      </c>
      <c r="H45" s="1" t="s">
        <v>1660</v>
      </c>
      <c r="I45" s="1" t="s">
        <v>1661</v>
      </c>
      <c r="J45" s="1" t="s">
        <v>1662</v>
      </c>
      <c r="K45" s="1" t="s">
        <v>1663</v>
      </c>
      <c r="L45" s="1" t="s">
        <v>1664</v>
      </c>
      <c r="M45" s="1" t="s">
        <v>1665</v>
      </c>
      <c r="N45" s="1" t="s">
        <v>1666</v>
      </c>
      <c r="O45" s="1" t="s">
        <v>26</v>
      </c>
      <c r="P45" s="1">
        <v>2025</v>
      </c>
      <c r="Q45" s="1">
        <v>18</v>
      </c>
      <c r="R45" s="1">
        <v>2</v>
      </c>
      <c r="S45" s="1">
        <v>259</v>
      </c>
      <c r="T45" s="1">
        <v>279</v>
      </c>
      <c r="U45" s="1" t="s">
        <v>1667</v>
      </c>
      <c r="V45" s="1" t="str">
        <f>HYPERLINK("http://dx.doi.org/10.1007/s12273-024-1210-x","http://dx.doi.org/10.1007/s12273-024-1210-x")</f>
        <v>http://dx.doi.org/10.1007/s12273-024-1210-x</v>
      </c>
    </row>
    <row r="46" spans="1:22" ht="13.7" x14ac:dyDescent="0.5">
      <c r="A46" s="2" t="s">
        <v>1737</v>
      </c>
      <c r="B46" s="4" t="s">
        <v>1772</v>
      </c>
    </row>
    <row r="47" spans="1:22" ht="13.7" x14ac:dyDescent="0.4">
      <c r="A47" s="2"/>
      <c r="C47" s="1" t="s">
        <v>601</v>
      </c>
      <c r="D47" s="1" t="s">
        <v>602</v>
      </c>
      <c r="E47" s="1" t="s">
        <v>603</v>
      </c>
      <c r="F47" s="1" t="s">
        <v>12</v>
      </c>
      <c r="G47" s="1" t="s">
        <v>262</v>
      </c>
      <c r="H47" s="1" t="s">
        <v>604</v>
      </c>
      <c r="I47" s="1" t="s">
        <v>605</v>
      </c>
      <c r="J47" s="1" t="s">
        <v>606</v>
      </c>
      <c r="K47" s="1" t="s">
        <v>607</v>
      </c>
      <c r="L47" s="1" t="s">
        <v>608</v>
      </c>
      <c r="M47" s="1" t="s">
        <v>609</v>
      </c>
      <c r="N47" s="1" t="s">
        <v>610</v>
      </c>
      <c r="O47" s="1" t="s">
        <v>22</v>
      </c>
      <c r="P47" s="1">
        <v>2024</v>
      </c>
      <c r="Q47" s="1">
        <v>17</v>
      </c>
      <c r="R47" s="1">
        <v>6</v>
      </c>
      <c r="S47" s="1">
        <v>893</v>
      </c>
      <c r="T47" s="1">
        <v>906</v>
      </c>
      <c r="U47" s="1" t="s">
        <v>611</v>
      </c>
      <c r="V47" s="1" t="str">
        <f>HYPERLINK("http://dx.doi.org/10.1007/s12273-024-1116-7","http://dx.doi.org/10.1007/s12273-024-1116-7")</f>
        <v>http://dx.doi.org/10.1007/s12273-024-1116-7</v>
      </c>
    </row>
    <row r="48" spans="1:22" x14ac:dyDescent="0.4">
      <c r="C48" s="1" t="s">
        <v>1844</v>
      </c>
      <c r="D48" s="1" t="s">
        <v>1845</v>
      </c>
      <c r="E48" s="1" t="s">
        <v>1846</v>
      </c>
      <c r="F48" s="1" t="s">
        <v>12</v>
      </c>
      <c r="G48" s="1" t="s">
        <v>262</v>
      </c>
      <c r="H48" s="1" t="s">
        <v>1847</v>
      </c>
      <c r="I48" s="1" t="s">
        <v>1848</v>
      </c>
      <c r="J48" s="1" t="s">
        <v>1849</v>
      </c>
      <c r="K48" s="1" t="s">
        <v>1850</v>
      </c>
      <c r="L48" s="1" t="s">
        <v>1851</v>
      </c>
      <c r="M48" s="1" t="s">
        <v>1852</v>
      </c>
      <c r="N48" s="1" t="s">
        <v>1853</v>
      </c>
      <c r="O48" s="1" t="s">
        <v>27</v>
      </c>
      <c r="P48" s="1">
        <v>2025</v>
      </c>
      <c r="Q48" s="1">
        <v>18</v>
      </c>
      <c r="R48" s="1">
        <v>12</v>
      </c>
      <c r="S48" s="1">
        <v>3373</v>
      </c>
      <c r="T48" s="1">
        <v>3391</v>
      </c>
      <c r="U48" s="1" t="s">
        <v>1854</v>
      </c>
      <c r="V48" s="1" t="str">
        <f>HYPERLINK("http://dx.doi.org/10.1007/s12273-025-1391-y","http://dx.doi.org/10.1007/s12273-025-1391-y")</f>
        <v>http://dx.doi.org/10.1007/s12273-025-1391-y</v>
      </c>
    </row>
    <row r="49" spans="1:22" x14ac:dyDescent="0.4">
      <c r="C49" s="1" t="s">
        <v>2863</v>
      </c>
      <c r="D49" s="1" t="s">
        <v>2864</v>
      </c>
      <c r="E49" s="1" t="s">
        <v>2865</v>
      </c>
      <c r="F49" s="1" t="s">
        <v>12</v>
      </c>
      <c r="G49" s="1" t="s">
        <v>262</v>
      </c>
      <c r="H49" s="1" t="s">
        <v>2866</v>
      </c>
      <c r="I49" s="1" t="s">
        <v>2867</v>
      </c>
      <c r="J49" s="1" t="s">
        <v>2868</v>
      </c>
      <c r="K49" s="1" t="s">
        <v>2869</v>
      </c>
      <c r="L49" s="1" t="s">
        <v>2870</v>
      </c>
      <c r="M49" s="1" t="s">
        <v>2871</v>
      </c>
      <c r="N49" s="1" t="s">
        <v>711</v>
      </c>
      <c r="O49" s="1" t="s">
        <v>21</v>
      </c>
      <c r="P49" s="1">
        <v>2025</v>
      </c>
      <c r="Q49" s="1">
        <v>18</v>
      </c>
      <c r="R49" s="1">
        <v>5</v>
      </c>
      <c r="S49" s="1">
        <v>1179</v>
      </c>
      <c r="T49" s="1">
        <v>1204</v>
      </c>
      <c r="U49" s="1" t="s">
        <v>2872</v>
      </c>
      <c r="V49" s="1" t="str">
        <f>HYPERLINK("http://dx.doi.org/10.1007/s12273-025-1253-7","http://dx.doi.org/10.1007/s12273-025-1253-7")</f>
        <v>http://dx.doi.org/10.1007/s12273-025-1253-7</v>
      </c>
    </row>
    <row r="50" spans="1:22" x14ac:dyDescent="0.4">
      <c r="C50" s="1" t="s">
        <v>3018</v>
      </c>
      <c r="D50" s="1" t="s">
        <v>3019</v>
      </c>
      <c r="E50" s="1" t="s">
        <v>3020</v>
      </c>
      <c r="F50" s="1" t="s">
        <v>12</v>
      </c>
      <c r="G50" s="1" t="s">
        <v>262</v>
      </c>
      <c r="H50" s="1" t="s">
        <v>3021</v>
      </c>
      <c r="I50" s="1" t="s">
        <v>3022</v>
      </c>
      <c r="J50" s="1" t="s">
        <v>3023</v>
      </c>
      <c r="K50" s="1" t="s">
        <v>3024</v>
      </c>
      <c r="L50" s="1" t="s">
        <v>3025</v>
      </c>
      <c r="M50" s="1" t="s">
        <v>3026</v>
      </c>
      <c r="N50" s="1" t="s">
        <v>3027</v>
      </c>
      <c r="O50" s="1" t="s">
        <v>22</v>
      </c>
      <c r="P50" s="1">
        <v>2025</v>
      </c>
      <c r="Q50" s="1">
        <v>18</v>
      </c>
      <c r="R50" s="1">
        <v>6</v>
      </c>
      <c r="S50" s="1">
        <v>1231</v>
      </c>
      <c r="T50" s="1">
        <v>1250</v>
      </c>
      <c r="U50" s="1" t="s">
        <v>3028</v>
      </c>
      <c r="V50" s="1" t="str">
        <f>HYPERLINK("http://dx.doi.org/10.1007/s12273-025-1261-7","http://dx.doi.org/10.1007/s12273-025-1261-7")</f>
        <v>http://dx.doi.org/10.1007/s12273-025-1261-7</v>
      </c>
    </row>
    <row r="51" spans="1:22" x14ac:dyDescent="0.4">
      <c r="C51" s="1" t="s">
        <v>3347</v>
      </c>
      <c r="D51" s="1" t="s">
        <v>3348</v>
      </c>
      <c r="E51" s="1" t="s">
        <v>3349</v>
      </c>
      <c r="F51" s="1" t="s">
        <v>12</v>
      </c>
      <c r="G51" s="1" t="s">
        <v>262</v>
      </c>
      <c r="H51" s="1" t="s">
        <v>3350</v>
      </c>
      <c r="I51" s="1" t="s">
        <v>3351</v>
      </c>
      <c r="J51" s="1" t="s">
        <v>3352</v>
      </c>
      <c r="K51" s="1" t="s">
        <v>3353</v>
      </c>
      <c r="L51" s="1" t="s">
        <v>3354</v>
      </c>
      <c r="M51" s="1" t="s">
        <v>3355</v>
      </c>
      <c r="N51" s="1" t="s">
        <v>3356</v>
      </c>
      <c r="O51" s="1" t="s">
        <v>26</v>
      </c>
      <c r="P51" s="1">
        <v>2025</v>
      </c>
      <c r="Q51" s="1">
        <v>18</v>
      </c>
      <c r="R51" s="1">
        <v>2</v>
      </c>
      <c r="S51" s="1">
        <v>385</v>
      </c>
      <c r="T51" s="1">
        <v>401</v>
      </c>
      <c r="U51" s="1" t="s">
        <v>3357</v>
      </c>
      <c r="V51" s="1" t="str">
        <f>HYPERLINK("http://dx.doi.org/10.1007/s12273-024-1218-2","http://dx.doi.org/10.1007/s12273-024-1218-2")</f>
        <v>http://dx.doi.org/10.1007/s12273-024-1218-2</v>
      </c>
    </row>
    <row r="53" spans="1:22" ht="13.7" x14ac:dyDescent="0.5">
      <c r="A53" s="2" t="s">
        <v>1739</v>
      </c>
      <c r="B53" s="4" t="s">
        <v>1773</v>
      </c>
    </row>
    <row r="54" spans="1:22" ht="13.7" x14ac:dyDescent="0.4">
      <c r="A54" s="2"/>
      <c r="C54" s="1" t="s">
        <v>1063</v>
      </c>
      <c r="D54" s="1" t="s">
        <v>1064</v>
      </c>
      <c r="E54" s="1" t="s">
        <v>1065</v>
      </c>
      <c r="F54" s="1" t="s">
        <v>12</v>
      </c>
      <c r="G54" s="1" t="s">
        <v>1066</v>
      </c>
      <c r="H54" s="1" t="s">
        <v>1067</v>
      </c>
      <c r="I54" s="1" t="s">
        <v>11</v>
      </c>
      <c r="J54" s="1" t="s">
        <v>1068</v>
      </c>
      <c r="K54" s="1" t="s">
        <v>1069</v>
      </c>
      <c r="L54" s="1" t="s">
        <v>1070</v>
      </c>
      <c r="M54" s="1" t="s">
        <v>1071</v>
      </c>
      <c r="N54" s="1" t="s">
        <v>1072</v>
      </c>
      <c r="O54" s="1" t="s">
        <v>1073</v>
      </c>
      <c r="P54" s="1">
        <v>2024</v>
      </c>
      <c r="Q54" s="1">
        <v>17</v>
      </c>
      <c r="R54" s="1">
        <v>10</v>
      </c>
      <c r="S54" s="1">
        <v>1653</v>
      </c>
      <c r="T54" s="1">
        <v>1657</v>
      </c>
      <c r="U54" s="1" t="s">
        <v>1074</v>
      </c>
      <c r="V54" s="1" t="str">
        <f>HYPERLINK("http://dx.doi.org/10.1007/s12273-024-1193-7","http://dx.doi.org/10.1007/s12273-024-1193-7")</f>
        <v>http://dx.doi.org/10.1007/s12273-024-1193-7</v>
      </c>
    </row>
    <row r="55" spans="1:22" x14ac:dyDescent="0.4">
      <c r="C55" s="1" t="s">
        <v>2907</v>
      </c>
      <c r="D55" s="1" t="s">
        <v>2908</v>
      </c>
      <c r="E55" s="1" t="s">
        <v>2909</v>
      </c>
      <c r="F55" s="1" t="s">
        <v>12</v>
      </c>
      <c r="G55" s="1" t="s">
        <v>262</v>
      </c>
      <c r="H55" s="1" t="s">
        <v>2910</v>
      </c>
      <c r="I55" s="1" t="s">
        <v>2911</v>
      </c>
      <c r="J55" s="1" t="s">
        <v>2912</v>
      </c>
      <c r="K55" s="1" t="s">
        <v>2913</v>
      </c>
      <c r="L55" s="1" t="s">
        <v>2914</v>
      </c>
      <c r="M55" s="1" t="s">
        <v>1548</v>
      </c>
      <c r="N55" s="1" t="s">
        <v>1549</v>
      </c>
      <c r="O55" s="1" t="s">
        <v>20</v>
      </c>
      <c r="P55" s="1">
        <v>2025</v>
      </c>
      <c r="Q55" s="1">
        <v>18</v>
      </c>
      <c r="R55" s="1">
        <v>7</v>
      </c>
      <c r="S55" s="1">
        <v>1743</v>
      </c>
      <c r="T55" s="1">
        <v>1760</v>
      </c>
      <c r="U55" s="1" t="s">
        <v>2915</v>
      </c>
      <c r="V55" s="1" t="str">
        <f>HYPERLINK("http://dx.doi.org/10.1007/s12273-025-1285-z","http://dx.doi.org/10.1007/s12273-025-1285-z")</f>
        <v>http://dx.doi.org/10.1007/s12273-025-1285-z</v>
      </c>
    </row>
    <row r="56" spans="1:22" x14ac:dyDescent="0.4">
      <c r="C56" s="1" t="s">
        <v>2805</v>
      </c>
      <c r="D56" s="1" t="s">
        <v>2806</v>
      </c>
      <c r="E56" s="1" t="s">
        <v>2807</v>
      </c>
      <c r="F56" s="1" t="s">
        <v>12</v>
      </c>
      <c r="G56" s="1" t="s">
        <v>262</v>
      </c>
      <c r="H56" s="1" t="s">
        <v>2808</v>
      </c>
      <c r="I56" s="1" t="s">
        <v>2809</v>
      </c>
      <c r="J56" s="1" t="s">
        <v>2810</v>
      </c>
      <c r="K56" s="1" t="s">
        <v>2811</v>
      </c>
      <c r="L56" s="1" t="s">
        <v>2812</v>
      </c>
      <c r="M56" s="1" t="s">
        <v>2813</v>
      </c>
      <c r="N56" s="1" t="s">
        <v>2814</v>
      </c>
      <c r="O56" s="1" t="s">
        <v>21</v>
      </c>
      <c r="P56" s="1">
        <v>2025</v>
      </c>
      <c r="Q56" s="1">
        <v>18</v>
      </c>
      <c r="R56" s="1">
        <v>5</v>
      </c>
      <c r="S56" s="1">
        <v>1143</v>
      </c>
      <c r="T56" s="1">
        <v>1162</v>
      </c>
      <c r="U56" s="1" t="s">
        <v>2815</v>
      </c>
      <c r="V56" s="1" t="str">
        <f>HYPERLINK("http://dx.doi.org/10.1007/s12273-025-1291-1","http://dx.doi.org/10.1007/s12273-025-1291-1")</f>
        <v>http://dx.doi.org/10.1007/s12273-025-1291-1</v>
      </c>
    </row>
    <row r="57" spans="1:22" ht="13.7" x14ac:dyDescent="0.4">
      <c r="A57" s="2"/>
      <c r="B57" s="2"/>
      <c r="C57" s="1" t="s">
        <v>3177</v>
      </c>
      <c r="D57" s="1" t="s">
        <v>3178</v>
      </c>
      <c r="E57" s="1" t="s">
        <v>3179</v>
      </c>
      <c r="F57" s="1" t="s">
        <v>12</v>
      </c>
      <c r="G57" s="1" t="s">
        <v>262</v>
      </c>
      <c r="H57" s="1" t="s">
        <v>3180</v>
      </c>
      <c r="I57" s="1" t="s">
        <v>3181</v>
      </c>
      <c r="J57" s="1" t="s">
        <v>3182</v>
      </c>
      <c r="K57" s="1" t="s">
        <v>3183</v>
      </c>
      <c r="L57" s="1" t="s">
        <v>346</v>
      </c>
      <c r="M57" s="1" t="s">
        <v>3184</v>
      </c>
      <c r="N57" s="1" t="s">
        <v>347</v>
      </c>
      <c r="O57" s="1" t="s">
        <v>23</v>
      </c>
      <c r="P57" s="1">
        <v>2025</v>
      </c>
      <c r="Q57" s="1">
        <v>18</v>
      </c>
      <c r="R57" s="1">
        <v>4</v>
      </c>
      <c r="S57" s="1">
        <v>897</v>
      </c>
      <c r="T57" s="1">
        <v>922</v>
      </c>
      <c r="U57" s="1" t="s">
        <v>3185</v>
      </c>
      <c r="V57" s="1" t="str">
        <f>HYPERLINK("http://dx.doi.org/10.1007/s12273-025-1236-8","http://dx.doi.org/10.1007/s12273-025-1236-8")</f>
        <v>http://dx.doi.org/10.1007/s12273-025-1236-8</v>
      </c>
    </row>
    <row r="58" spans="1:22" ht="13.7" x14ac:dyDescent="0.4">
      <c r="A58" s="2"/>
      <c r="B58" s="2"/>
      <c r="C58" s="1" t="s">
        <v>3403</v>
      </c>
      <c r="D58" s="1" t="s">
        <v>3404</v>
      </c>
      <c r="E58" s="1" t="s">
        <v>3405</v>
      </c>
      <c r="F58" s="1" t="s">
        <v>12</v>
      </c>
      <c r="G58" s="1" t="s">
        <v>262</v>
      </c>
      <c r="H58" s="1" t="s">
        <v>3406</v>
      </c>
      <c r="I58" s="1" t="s">
        <v>3407</v>
      </c>
      <c r="J58" s="1" t="s">
        <v>3408</v>
      </c>
      <c r="K58" s="1" t="s">
        <v>3409</v>
      </c>
      <c r="L58" s="1" t="s">
        <v>3410</v>
      </c>
      <c r="M58" s="1" t="s">
        <v>3411</v>
      </c>
      <c r="N58" s="1" t="s">
        <v>3412</v>
      </c>
      <c r="O58" s="1" t="s">
        <v>26</v>
      </c>
      <c r="P58" s="1">
        <v>2025</v>
      </c>
      <c r="Q58" s="1">
        <v>18</v>
      </c>
      <c r="R58" s="1">
        <v>2</v>
      </c>
      <c r="S58" s="1">
        <v>339</v>
      </c>
      <c r="T58" s="1">
        <v>352</v>
      </c>
      <c r="U58" s="1" t="s">
        <v>3413</v>
      </c>
      <c r="V58" s="1" t="str">
        <f>HYPERLINK("http://dx.doi.org/10.1007/s12273-024-1219-1","http://dx.doi.org/10.1007/s12273-024-1219-1")</f>
        <v>http://dx.doi.org/10.1007/s12273-024-1219-1</v>
      </c>
    </row>
    <row r="59" spans="1:22" ht="13.7" x14ac:dyDescent="0.4">
      <c r="A59" s="2"/>
      <c r="B59" s="2"/>
    </row>
    <row r="60" spans="1:22" ht="13.7" x14ac:dyDescent="0.5">
      <c r="A60" s="2" t="s">
        <v>1741</v>
      </c>
      <c r="B60" s="4" t="s">
        <v>1774</v>
      </c>
    </row>
    <row r="61" spans="1:22" ht="13.7" x14ac:dyDescent="0.4">
      <c r="A61" s="2"/>
      <c r="C61" s="1" t="s">
        <v>1077</v>
      </c>
      <c r="D61" s="1" t="s">
        <v>1078</v>
      </c>
      <c r="E61" s="1" t="s">
        <v>1079</v>
      </c>
      <c r="F61" s="1" t="s">
        <v>12</v>
      </c>
      <c r="G61" s="1" t="s">
        <v>1080</v>
      </c>
      <c r="H61" s="1" t="s">
        <v>1081</v>
      </c>
      <c r="I61" s="1" t="s">
        <v>1082</v>
      </c>
      <c r="J61" s="1" t="s">
        <v>1083</v>
      </c>
      <c r="K61" s="1" t="s">
        <v>1084</v>
      </c>
      <c r="L61" s="1" t="s">
        <v>665</v>
      </c>
      <c r="M61" s="1" t="s">
        <v>1085</v>
      </c>
      <c r="N61" s="1" t="s">
        <v>1086</v>
      </c>
      <c r="O61" s="1" t="s">
        <v>15</v>
      </c>
      <c r="P61" s="1">
        <v>2024</v>
      </c>
      <c r="Q61" s="1">
        <v>17</v>
      </c>
      <c r="R61" s="1">
        <v>10</v>
      </c>
      <c r="S61" s="1">
        <v>1659</v>
      </c>
      <c r="T61" s="1">
        <v>1674</v>
      </c>
      <c r="U61" s="1" t="s">
        <v>1087</v>
      </c>
      <c r="V61" s="1" t="str">
        <f>HYPERLINK("http://dx.doi.org/10.1007/s12273-024-1165-y","http://dx.doi.org/10.1007/s12273-024-1165-y")</f>
        <v>http://dx.doi.org/10.1007/s12273-024-1165-y</v>
      </c>
    </row>
    <row r="62" spans="1:22" x14ac:dyDescent="0.4">
      <c r="C62" s="1" t="s">
        <v>2044</v>
      </c>
      <c r="D62" s="1" t="s">
        <v>2045</v>
      </c>
      <c r="E62" s="1" t="s">
        <v>2046</v>
      </c>
      <c r="F62" s="1" t="s">
        <v>12</v>
      </c>
      <c r="G62" s="1" t="s">
        <v>262</v>
      </c>
      <c r="H62" s="1" t="s">
        <v>2047</v>
      </c>
      <c r="I62" s="1" t="s">
        <v>2048</v>
      </c>
      <c r="J62" s="1" t="s">
        <v>2049</v>
      </c>
      <c r="K62" s="1" t="s">
        <v>2050</v>
      </c>
      <c r="L62" s="1" t="s">
        <v>2051</v>
      </c>
      <c r="M62" s="1" t="s">
        <v>2052</v>
      </c>
      <c r="N62" s="1" t="s">
        <v>2053</v>
      </c>
      <c r="O62" s="1" t="s">
        <v>27</v>
      </c>
      <c r="P62" s="1">
        <v>2025</v>
      </c>
      <c r="Q62" s="1">
        <v>18</v>
      </c>
      <c r="R62" s="1">
        <v>12</v>
      </c>
      <c r="S62" s="1">
        <v>3153</v>
      </c>
      <c r="T62" s="1">
        <v>3171</v>
      </c>
      <c r="U62" s="1" t="s">
        <v>2054</v>
      </c>
      <c r="V62" s="1" t="str">
        <f>HYPERLINK("http://dx.doi.org/10.1007/s12273-025-1363-2","http://dx.doi.org/10.1007/s12273-025-1363-2")</f>
        <v>http://dx.doi.org/10.1007/s12273-025-1363-2</v>
      </c>
    </row>
    <row r="63" spans="1:22" x14ac:dyDescent="0.4">
      <c r="C63" s="1" t="s">
        <v>2099</v>
      </c>
      <c r="D63" s="1" t="s">
        <v>2100</v>
      </c>
      <c r="E63" s="1" t="s">
        <v>2101</v>
      </c>
      <c r="F63" s="1" t="s">
        <v>12</v>
      </c>
      <c r="G63" s="1" t="s">
        <v>262</v>
      </c>
      <c r="H63" s="1" t="s">
        <v>2102</v>
      </c>
      <c r="I63" s="1" t="s">
        <v>2103</v>
      </c>
      <c r="J63" s="1" t="s">
        <v>2104</v>
      </c>
      <c r="K63" s="1" t="s">
        <v>2105</v>
      </c>
      <c r="L63" s="1" t="s">
        <v>2106</v>
      </c>
      <c r="M63" s="1" t="s">
        <v>2107</v>
      </c>
      <c r="N63" s="1" t="s">
        <v>2108</v>
      </c>
      <c r="O63" s="1" t="s">
        <v>15</v>
      </c>
      <c r="P63" s="1">
        <v>2025</v>
      </c>
      <c r="Q63" s="1">
        <v>18</v>
      </c>
      <c r="R63" s="1">
        <v>10</v>
      </c>
      <c r="S63" s="1">
        <v>2697</v>
      </c>
      <c r="T63" s="1">
        <v>2721</v>
      </c>
      <c r="U63" s="1" t="s">
        <v>2109</v>
      </c>
      <c r="V63" s="1" t="str">
        <f>HYPERLINK("http://dx.doi.org/10.1007/s12273-025-1344-5","http://dx.doi.org/10.1007/s12273-025-1344-5")</f>
        <v>http://dx.doi.org/10.1007/s12273-025-1344-5</v>
      </c>
    </row>
    <row r="64" spans="1:22" ht="13.7" x14ac:dyDescent="0.4">
      <c r="A64" s="2"/>
      <c r="B64" s="2"/>
      <c r="C64" s="1" t="s">
        <v>2216</v>
      </c>
      <c r="D64" s="1" t="s">
        <v>2217</v>
      </c>
      <c r="E64" s="1" t="s">
        <v>2218</v>
      </c>
      <c r="F64" s="1" t="s">
        <v>12</v>
      </c>
      <c r="G64" s="1" t="s">
        <v>262</v>
      </c>
      <c r="H64" s="1" t="s">
        <v>2219</v>
      </c>
      <c r="I64" s="1" t="s">
        <v>2220</v>
      </c>
      <c r="J64" s="1" t="s">
        <v>2221</v>
      </c>
      <c r="K64" s="1" t="s">
        <v>2222</v>
      </c>
      <c r="L64" s="1" t="s">
        <v>2223</v>
      </c>
      <c r="M64" s="1" t="s">
        <v>2224</v>
      </c>
      <c r="N64" s="1" t="s">
        <v>2225</v>
      </c>
      <c r="O64" s="1" t="s">
        <v>15</v>
      </c>
      <c r="P64" s="1">
        <v>2025</v>
      </c>
      <c r="Q64" s="1">
        <v>18</v>
      </c>
      <c r="R64" s="1">
        <v>10</v>
      </c>
      <c r="S64" s="1">
        <v>2531</v>
      </c>
      <c r="T64" s="1">
        <v>2558</v>
      </c>
      <c r="U64" s="1" t="s">
        <v>2226</v>
      </c>
      <c r="V64" s="1" t="str">
        <f>HYPERLINK("http://dx.doi.org/10.1007/s12273-025-1332-9","http://dx.doi.org/10.1007/s12273-025-1332-9")</f>
        <v>http://dx.doi.org/10.1007/s12273-025-1332-9</v>
      </c>
    </row>
    <row r="65" spans="1:22" ht="13.7" x14ac:dyDescent="0.5">
      <c r="A65" s="2" t="s">
        <v>3594</v>
      </c>
      <c r="B65" s="4" t="s">
        <v>1775</v>
      </c>
    </row>
    <row r="66" spans="1:22" ht="13.7" x14ac:dyDescent="0.4">
      <c r="A66" s="2"/>
      <c r="B66" s="2"/>
      <c r="C66" s="1" t="s">
        <v>1323</v>
      </c>
      <c r="D66" s="1" t="s">
        <v>1324</v>
      </c>
      <c r="E66" s="1" t="s">
        <v>1325</v>
      </c>
      <c r="F66" s="1" t="s">
        <v>12</v>
      </c>
      <c r="G66" s="1" t="s">
        <v>262</v>
      </c>
      <c r="H66" s="1" t="s">
        <v>1326</v>
      </c>
      <c r="I66" s="1" t="s">
        <v>1327</v>
      </c>
      <c r="J66" s="1" t="s">
        <v>1328</v>
      </c>
      <c r="K66" s="1" t="s">
        <v>1329</v>
      </c>
      <c r="L66" s="1" t="s">
        <v>1330</v>
      </c>
      <c r="M66" s="1" t="s">
        <v>1331</v>
      </c>
      <c r="N66" s="1" t="s">
        <v>1332</v>
      </c>
      <c r="O66" s="1" t="s">
        <v>14</v>
      </c>
      <c r="P66" s="1">
        <v>2024</v>
      </c>
      <c r="Q66" s="1">
        <v>17</v>
      </c>
      <c r="R66" s="1">
        <v>11</v>
      </c>
      <c r="S66" s="1">
        <v>2063</v>
      </c>
      <c r="T66" s="1">
        <v>2082</v>
      </c>
      <c r="U66" s="1" t="s">
        <v>1333</v>
      </c>
      <c r="V66" s="1" t="str">
        <f>HYPERLINK("http://dx.doi.org/10.1007/s12273-024-1171-0","http://dx.doi.org/10.1007/s12273-024-1171-0")</f>
        <v>http://dx.doi.org/10.1007/s12273-024-1171-0</v>
      </c>
    </row>
    <row r="67" spans="1:22" ht="13.7" x14ac:dyDescent="0.4">
      <c r="A67" s="2"/>
      <c r="B67" s="2"/>
      <c r="C67" s="1" t="s">
        <v>1515</v>
      </c>
      <c r="D67" s="1" t="s">
        <v>1516</v>
      </c>
      <c r="E67" s="1" t="s">
        <v>1517</v>
      </c>
      <c r="F67" s="1" t="s">
        <v>12</v>
      </c>
      <c r="G67" s="1" t="s">
        <v>1747</v>
      </c>
      <c r="H67" s="1" t="s">
        <v>1518</v>
      </c>
      <c r="I67" s="1" t="s">
        <v>1519</v>
      </c>
      <c r="J67" s="1" t="s">
        <v>1520</v>
      </c>
      <c r="K67" s="1" t="s">
        <v>1521</v>
      </c>
      <c r="L67" s="1" t="s">
        <v>295</v>
      </c>
      <c r="M67" s="1" t="s">
        <v>1522</v>
      </c>
      <c r="N67" s="1" t="s">
        <v>1523</v>
      </c>
      <c r="O67" s="1" t="s">
        <v>1524</v>
      </c>
      <c r="P67" s="1">
        <v>2025</v>
      </c>
      <c r="Q67" s="1">
        <v>18</v>
      </c>
      <c r="R67" s="1">
        <v>1</v>
      </c>
      <c r="S67" s="1">
        <v>3</v>
      </c>
      <c r="T67" s="1">
        <v>18</v>
      </c>
      <c r="U67" s="1" t="s">
        <v>1525</v>
      </c>
      <c r="V67" s="1" t="str">
        <f>HYPERLINK("http://dx.doi.org/10.1007/s12273-024-1214-6","http://dx.doi.org/10.1007/s12273-024-1214-6")</f>
        <v>http://dx.doi.org/10.1007/s12273-024-1214-6</v>
      </c>
    </row>
    <row r="68" spans="1:22" x14ac:dyDescent="0.4">
      <c r="C68" s="1" t="s">
        <v>2395</v>
      </c>
      <c r="D68" s="1" t="s">
        <v>2396</v>
      </c>
      <c r="E68" s="1" t="s">
        <v>2397</v>
      </c>
      <c r="F68" s="1" t="s">
        <v>12</v>
      </c>
      <c r="G68" s="1" t="s">
        <v>262</v>
      </c>
      <c r="H68" s="1" t="s">
        <v>2398</v>
      </c>
      <c r="I68" s="1" t="s">
        <v>2399</v>
      </c>
      <c r="J68" s="1" t="s">
        <v>2400</v>
      </c>
      <c r="K68" s="1" t="s">
        <v>2401</v>
      </c>
      <c r="L68" s="1" t="s">
        <v>2402</v>
      </c>
      <c r="M68" s="1" t="s">
        <v>2403</v>
      </c>
      <c r="N68" s="1" t="s">
        <v>2404</v>
      </c>
      <c r="O68" s="1" t="s">
        <v>19</v>
      </c>
      <c r="P68" s="1">
        <v>2025</v>
      </c>
      <c r="Q68" s="1">
        <v>18</v>
      </c>
      <c r="R68" s="1">
        <v>8</v>
      </c>
      <c r="S68" s="1">
        <v>2093</v>
      </c>
      <c r="T68" s="1">
        <v>2114</v>
      </c>
      <c r="U68" s="1" t="s">
        <v>2405</v>
      </c>
      <c r="V68" s="1" t="str">
        <f>HYPERLINK("http://dx.doi.org/10.1007/s12273-025-1287-x","http://dx.doi.org/10.1007/s12273-025-1287-x")</f>
        <v>http://dx.doi.org/10.1007/s12273-025-1287-x</v>
      </c>
    </row>
    <row r="69" spans="1:22" x14ac:dyDescent="0.4">
      <c r="C69" s="1" t="s">
        <v>3041</v>
      </c>
      <c r="D69" s="1" t="s">
        <v>3042</v>
      </c>
      <c r="E69" s="1" t="s">
        <v>3043</v>
      </c>
      <c r="F69" s="1" t="s">
        <v>12</v>
      </c>
      <c r="G69" s="1" t="s">
        <v>262</v>
      </c>
      <c r="H69" s="1" t="s">
        <v>3044</v>
      </c>
      <c r="I69" s="1" t="s">
        <v>3045</v>
      </c>
      <c r="J69" s="1" t="s">
        <v>3046</v>
      </c>
      <c r="K69" s="1" t="s">
        <v>3047</v>
      </c>
      <c r="L69" s="1" t="s">
        <v>3048</v>
      </c>
      <c r="M69" s="1" t="s">
        <v>3049</v>
      </c>
      <c r="N69" s="1" t="s">
        <v>3050</v>
      </c>
      <c r="O69" s="1" t="s">
        <v>21</v>
      </c>
      <c r="P69" s="1">
        <v>2025</v>
      </c>
      <c r="Q69" s="1">
        <v>18</v>
      </c>
      <c r="R69" s="1">
        <v>5</v>
      </c>
      <c r="S69" s="1">
        <v>957</v>
      </c>
      <c r="T69" s="1">
        <v>977</v>
      </c>
      <c r="U69" s="1" t="s">
        <v>3051</v>
      </c>
      <c r="V69" s="1" t="str">
        <f>HYPERLINK("http://dx.doi.org/10.1007/s12273-025-1265-3","http://dx.doi.org/10.1007/s12273-025-1265-3")</f>
        <v>http://dx.doi.org/10.1007/s12273-025-1265-3</v>
      </c>
    </row>
    <row r="71" spans="1:22" ht="13.7" x14ac:dyDescent="0.4">
      <c r="A71" s="2" t="s">
        <v>95</v>
      </c>
      <c r="B71" s="2" t="s">
        <v>226</v>
      </c>
    </row>
    <row r="72" spans="1:22" x14ac:dyDescent="0.4">
      <c r="C72" s="1" t="s">
        <v>1892</v>
      </c>
      <c r="D72" s="1" t="s">
        <v>1893</v>
      </c>
      <c r="E72" s="1" t="s">
        <v>1894</v>
      </c>
      <c r="F72" s="1" t="s">
        <v>12</v>
      </c>
      <c r="G72" s="1" t="s">
        <v>262</v>
      </c>
      <c r="H72" s="1" t="s">
        <v>1895</v>
      </c>
      <c r="I72" s="1" t="s">
        <v>1896</v>
      </c>
      <c r="J72" s="1" t="s">
        <v>1897</v>
      </c>
      <c r="K72" s="1" t="s">
        <v>1898</v>
      </c>
      <c r="L72" s="1" t="s">
        <v>1899</v>
      </c>
      <c r="M72" s="1" t="s">
        <v>1900</v>
      </c>
      <c r="N72" s="1" t="s">
        <v>1901</v>
      </c>
      <c r="O72" s="1" t="s">
        <v>27</v>
      </c>
      <c r="P72" s="1">
        <v>2025</v>
      </c>
      <c r="Q72" s="1">
        <v>18</v>
      </c>
      <c r="R72" s="1">
        <v>12</v>
      </c>
      <c r="S72" s="1">
        <v>3357</v>
      </c>
      <c r="T72" s="1">
        <v>3372</v>
      </c>
      <c r="U72" s="1" t="s">
        <v>1902</v>
      </c>
      <c r="V72" s="1" t="str">
        <f>HYPERLINK("http://dx.doi.org/10.1007/s12273-025-1387-7","http://dx.doi.org/10.1007/s12273-025-1387-7")</f>
        <v>http://dx.doi.org/10.1007/s12273-025-1387-7</v>
      </c>
    </row>
  </sheetData>
  <phoneticPr fontId="2" type="noConversion"/>
  <conditionalFormatting sqref="U1">
    <cfRule type="duplicateValues" dxfId="222" priority="42" stopIfTrue="1"/>
  </conditionalFormatting>
  <conditionalFormatting sqref="U3">
    <cfRule type="duplicateValues" dxfId="221" priority="59" stopIfTrue="1"/>
  </conditionalFormatting>
  <conditionalFormatting sqref="U4">
    <cfRule type="duplicateValues" dxfId="220" priority="55" stopIfTrue="1"/>
  </conditionalFormatting>
  <conditionalFormatting sqref="U5">
    <cfRule type="duplicateValues" dxfId="219" priority="44" stopIfTrue="1"/>
  </conditionalFormatting>
  <conditionalFormatting sqref="U7">
    <cfRule type="duplicateValues" dxfId="218" priority="62" stopIfTrue="1"/>
  </conditionalFormatting>
  <conditionalFormatting sqref="U8">
    <cfRule type="duplicateValues" dxfId="217" priority="52" stopIfTrue="1"/>
  </conditionalFormatting>
  <conditionalFormatting sqref="U9">
    <cfRule type="duplicateValues" dxfId="216" priority="51" stopIfTrue="1"/>
  </conditionalFormatting>
  <conditionalFormatting sqref="U10">
    <cfRule type="duplicateValues" dxfId="215" priority="50" stopIfTrue="1"/>
  </conditionalFormatting>
  <conditionalFormatting sqref="U12">
    <cfRule type="duplicateValues" dxfId="214" priority="36" stopIfTrue="1"/>
  </conditionalFormatting>
  <conditionalFormatting sqref="U13">
    <cfRule type="duplicateValues" dxfId="213" priority="60" stopIfTrue="1"/>
  </conditionalFormatting>
  <conditionalFormatting sqref="U14">
    <cfRule type="duplicateValues" dxfId="212" priority="48" stopIfTrue="1"/>
  </conditionalFormatting>
  <conditionalFormatting sqref="U15">
    <cfRule type="duplicateValues" dxfId="211" priority="35" stopIfTrue="1"/>
  </conditionalFormatting>
  <conditionalFormatting sqref="U16">
    <cfRule type="duplicateValues" dxfId="210" priority="45" stopIfTrue="1"/>
  </conditionalFormatting>
  <conditionalFormatting sqref="U17">
    <cfRule type="duplicateValues" dxfId="209" priority="31" stopIfTrue="1"/>
  </conditionalFormatting>
  <conditionalFormatting sqref="U18">
    <cfRule type="duplicateValues" dxfId="208" priority="26" stopIfTrue="1"/>
  </conditionalFormatting>
  <conditionalFormatting sqref="U19">
    <cfRule type="duplicateValues" dxfId="207" priority="24" stopIfTrue="1"/>
  </conditionalFormatting>
  <conditionalFormatting sqref="U20">
    <cfRule type="duplicateValues" dxfId="206" priority="17" stopIfTrue="1"/>
  </conditionalFormatting>
  <conditionalFormatting sqref="U21">
    <cfRule type="duplicateValues" dxfId="205" priority="14" stopIfTrue="1"/>
  </conditionalFormatting>
  <conditionalFormatting sqref="U22">
    <cfRule type="duplicateValues" dxfId="204" priority="12" stopIfTrue="1"/>
  </conditionalFormatting>
  <conditionalFormatting sqref="U23">
    <cfRule type="duplicateValues" dxfId="203" priority="11" stopIfTrue="1"/>
  </conditionalFormatting>
  <conditionalFormatting sqref="U24">
    <cfRule type="duplicateValues" dxfId="202" priority="8" stopIfTrue="1"/>
  </conditionalFormatting>
  <conditionalFormatting sqref="U25">
    <cfRule type="duplicateValues" dxfId="201" priority="6" stopIfTrue="1"/>
  </conditionalFormatting>
  <conditionalFormatting sqref="U26">
    <cfRule type="duplicateValues" dxfId="200" priority="1" stopIfTrue="1"/>
  </conditionalFormatting>
  <conditionalFormatting sqref="U28">
    <cfRule type="duplicateValues" dxfId="199" priority="41" stopIfTrue="1"/>
  </conditionalFormatting>
  <conditionalFormatting sqref="U29">
    <cfRule type="duplicateValues" dxfId="198" priority="13" stopIfTrue="1"/>
  </conditionalFormatting>
  <conditionalFormatting sqref="U30">
    <cfRule type="duplicateValues" dxfId="197" priority="7" stopIfTrue="1"/>
  </conditionalFormatting>
  <conditionalFormatting sqref="U32">
    <cfRule type="duplicateValues" dxfId="196" priority="57" stopIfTrue="1"/>
  </conditionalFormatting>
  <conditionalFormatting sqref="U34">
    <cfRule type="duplicateValues" dxfId="195" priority="40" stopIfTrue="1"/>
  </conditionalFormatting>
  <conditionalFormatting sqref="U35">
    <cfRule type="duplicateValues" dxfId="194" priority="56" stopIfTrue="1"/>
  </conditionalFormatting>
  <conditionalFormatting sqref="U36">
    <cfRule type="duplicateValues" dxfId="193" priority="49" stopIfTrue="1"/>
  </conditionalFormatting>
  <conditionalFormatting sqref="U37">
    <cfRule type="duplicateValues" dxfId="192" priority="38" stopIfTrue="1"/>
  </conditionalFormatting>
  <conditionalFormatting sqref="U38">
    <cfRule type="duplicateValues" dxfId="191" priority="29" stopIfTrue="1"/>
  </conditionalFormatting>
  <conditionalFormatting sqref="U39">
    <cfRule type="duplicateValues" dxfId="190" priority="28" stopIfTrue="1"/>
  </conditionalFormatting>
  <conditionalFormatting sqref="U40">
    <cfRule type="duplicateValues" dxfId="189" priority="25" stopIfTrue="1"/>
  </conditionalFormatting>
  <conditionalFormatting sqref="U41">
    <cfRule type="duplicateValues" dxfId="188" priority="20" stopIfTrue="1"/>
  </conditionalFormatting>
  <conditionalFormatting sqref="U42">
    <cfRule type="duplicateValues" dxfId="187" priority="16" stopIfTrue="1"/>
  </conditionalFormatting>
  <conditionalFormatting sqref="U43">
    <cfRule type="duplicateValues" dxfId="186" priority="5" stopIfTrue="1"/>
  </conditionalFormatting>
  <conditionalFormatting sqref="U44">
    <cfRule type="duplicateValues" dxfId="185" priority="4" stopIfTrue="1"/>
  </conditionalFormatting>
  <conditionalFormatting sqref="U45">
    <cfRule type="duplicateValues" dxfId="184" priority="2" stopIfTrue="1"/>
  </conditionalFormatting>
  <conditionalFormatting sqref="U47">
    <cfRule type="duplicateValues" dxfId="183" priority="58" stopIfTrue="1"/>
  </conditionalFormatting>
  <conditionalFormatting sqref="U48">
    <cfRule type="duplicateValues" dxfId="182" priority="39" stopIfTrue="1"/>
  </conditionalFormatting>
  <conditionalFormatting sqref="U49">
    <cfRule type="duplicateValues" dxfId="181" priority="22" stopIfTrue="1"/>
  </conditionalFormatting>
  <conditionalFormatting sqref="U50">
    <cfRule type="duplicateValues" dxfId="180" priority="19" stopIfTrue="1"/>
  </conditionalFormatting>
  <conditionalFormatting sqref="U51">
    <cfRule type="duplicateValues" dxfId="179" priority="10" stopIfTrue="1"/>
  </conditionalFormatting>
  <conditionalFormatting sqref="U52">
    <cfRule type="duplicateValues" dxfId="178" priority="3" stopIfTrue="1"/>
  </conditionalFormatting>
  <conditionalFormatting sqref="U54">
    <cfRule type="duplicateValues" dxfId="177" priority="54" stopIfTrue="1"/>
  </conditionalFormatting>
  <conditionalFormatting sqref="U55">
    <cfRule type="duplicateValues" dxfId="176" priority="21" stopIfTrue="1"/>
  </conditionalFormatting>
  <conditionalFormatting sqref="U56">
    <cfRule type="duplicateValues" dxfId="175" priority="23" stopIfTrue="1"/>
  </conditionalFormatting>
  <conditionalFormatting sqref="U57">
    <cfRule type="duplicateValues" dxfId="174" priority="15" stopIfTrue="1"/>
  </conditionalFormatting>
  <conditionalFormatting sqref="U58:U59">
    <cfRule type="duplicateValues" dxfId="173" priority="9" stopIfTrue="1"/>
  </conditionalFormatting>
  <conditionalFormatting sqref="U61">
    <cfRule type="duplicateValues" dxfId="172" priority="53" stopIfTrue="1"/>
  </conditionalFormatting>
  <conditionalFormatting sqref="U62">
    <cfRule type="duplicateValues" dxfId="171" priority="34" stopIfTrue="1"/>
  </conditionalFormatting>
  <conditionalFormatting sqref="U63">
    <cfRule type="duplicateValues" dxfId="170" priority="32" stopIfTrue="1"/>
  </conditionalFormatting>
  <conditionalFormatting sqref="U64">
    <cfRule type="duplicateValues" dxfId="169" priority="30" stopIfTrue="1"/>
  </conditionalFormatting>
  <conditionalFormatting sqref="U66">
    <cfRule type="duplicateValues" dxfId="168" priority="47" stopIfTrue="1"/>
  </conditionalFormatting>
  <conditionalFormatting sqref="U67">
    <cfRule type="duplicateValues" dxfId="167" priority="46" stopIfTrue="1"/>
  </conditionalFormatting>
  <conditionalFormatting sqref="U68">
    <cfRule type="duplicateValues" dxfId="166" priority="27" stopIfTrue="1"/>
  </conditionalFormatting>
  <conditionalFormatting sqref="U69:U70">
    <cfRule type="duplicateValues" dxfId="165" priority="18" stopIfTrue="1"/>
  </conditionalFormatting>
  <conditionalFormatting sqref="U72">
    <cfRule type="duplicateValues" dxfId="164" priority="37" stopIfTrue="1"/>
  </conditionalFormatting>
  <conditionalFormatting sqref="U75">
    <cfRule type="duplicateValues" dxfId="163" priority="33" stopIfTrue="1"/>
  </conditionalFormatting>
  <conditionalFormatting sqref="W1">
    <cfRule type="duplicateValues" dxfId="162" priority="43"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2"/>
  <sheetViews>
    <sheetView zoomScaleNormal="100" workbookViewId="0"/>
  </sheetViews>
  <sheetFormatPr defaultColWidth="8.703125" defaultRowHeight="12.7" x14ac:dyDescent="0.4"/>
  <cols>
    <col min="1" max="1" width="15.29296875" style="1" customWidth="1"/>
    <col min="2" max="2" width="17.41015625" style="1" customWidth="1"/>
    <col min="3" max="3" width="19.41015625" style="1" customWidth="1"/>
    <col min="4" max="4" width="41.29296875" style="1" customWidth="1"/>
    <col min="5" max="5" width="19.41015625" style="1" customWidth="1"/>
    <col min="6" max="6" width="41.29296875" style="1" customWidth="1"/>
    <col min="7" max="16384" width="8.703125" style="1"/>
  </cols>
  <sheetData>
    <row r="1" spans="1:22" s="9" customFormat="1" ht="38" x14ac:dyDescent="0.4">
      <c r="C1" s="16" t="s">
        <v>162</v>
      </c>
      <c r="D1" s="16" t="s">
        <v>0</v>
      </c>
      <c r="E1" s="16" t="s">
        <v>161</v>
      </c>
      <c r="F1" s="16" t="s">
        <v>1</v>
      </c>
      <c r="G1" s="16" t="s">
        <v>255</v>
      </c>
      <c r="H1" s="16" t="s">
        <v>163</v>
      </c>
      <c r="I1" s="16" t="s">
        <v>254</v>
      </c>
      <c r="J1" s="16" t="s">
        <v>164</v>
      </c>
      <c r="K1" s="16" t="s">
        <v>256</v>
      </c>
      <c r="L1" s="16" t="s">
        <v>257</v>
      </c>
      <c r="M1" s="16" t="s">
        <v>258</v>
      </c>
      <c r="N1" s="16" t="s">
        <v>259</v>
      </c>
      <c r="O1" s="16" t="s">
        <v>2</v>
      </c>
      <c r="P1" s="16" t="s">
        <v>3</v>
      </c>
      <c r="Q1" s="16" t="s">
        <v>4</v>
      </c>
      <c r="R1" s="16" t="s">
        <v>5</v>
      </c>
      <c r="S1" s="16" t="s">
        <v>6</v>
      </c>
      <c r="T1" s="16" t="s">
        <v>7</v>
      </c>
      <c r="U1" s="16" t="s">
        <v>8</v>
      </c>
      <c r="V1" s="16" t="s">
        <v>9</v>
      </c>
    </row>
    <row r="2" spans="1:22" x14ac:dyDescent="0.4">
      <c r="A2" s="10" t="s">
        <v>120</v>
      </c>
      <c r="B2" s="10" t="s">
        <v>121</v>
      </c>
      <c r="E2" s="10"/>
      <c r="F2" s="10"/>
    </row>
    <row r="3" spans="1:22" x14ac:dyDescent="0.4">
      <c r="C3" s="1" t="s">
        <v>1712</v>
      </c>
      <c r="D3" s="1" t="s">
        <v>1713</v>
      </c>
      <c r="E3" s="1" t="s">
        <v>1714</v>
      </c>
      <c r="F3" s="1" t="s">
        <v>12</v>
      </c>
      <c r="G3" s="1" t="s">
        <v>1080</v>
      </c>
      <c r="H3" s="1" t="s">
        <v>1715</v>
      </c>
      <c r="I3" s="1" t="s">
        <v>1716</v>
      </c>
      <c r="J3" s="1" t="s">
        <v>1717</v>
      </c>
      <c r="K3" s="1" t="s">
        <v>1718</v>
      </c>
      <c r="L3" s="1" t="s">
        <v>1719</v>
      </c>
      <c r="M3" s="1" t="s">
        <v>1720</v>
      </c>
      <c r="N3" s="1" t="s">
        <v>1721</v>
      </c>
      <c r="O3" s="1" t="s">
        <v>1654</v>
      </c>
      <c r="P3" s="1">
        <v>2025</v>
      </c>
      <c r="Q3" s="1">
        <v>18</v>
      </c>
      <c r="R3" s="1">
        <v>2</v>
      </c>
      <c r="S3" s="1">
        <v>449</v>
      </c>
      <c r="T3" s="1">
        <v>471</v>
      </c>
      <c r="U3" s="1" t="s">
        <v>1722</v>
      </c>
      <c r="V3" s="1" t="str">
        <f>HYPERLINK("http://dx.doi.org/10.1007/s12273-024-1217-3","http://dx.doi.org/10.1007/s12273-024-1217-3")</f>
        <v>http://dx.doi.org/10.1007/s12273-024-1217-3</v>
      </c>
    </row>
    <row r="4" spans="1:22" ht="13.7" x14ac:dyDescent="0.5">
      <c r="A4" s="4" t="s">
        <v>122</v>
      </c>
      <c r="B4" s="10" t="s">
        <v>123</v>
      </c>
      <c r="E4" s="4"/>
      <c r="F4" s="10"/>
    </row>
    <row r="5" spans="1:22" x14ac:dyDescent="0.4">
      <c r="C5" s="1" t="s">
        <v>2157</v>
      </c>
      <c r="D5" s="1" t="s">
        <v>2158</v>
      </c>
      <c r="E5" s="1" t="s">
        <v>2159</v>
      </c>
      <c r="F5" s="1" t="s">
        <v>12</v>
      </c>
      <c r="G5" s="1" t="s">
        <v>262</v>
      </c>
      <c r="H5" s="1" t="s">
        <v>2160</v>
      </c>
      <c r="I5" s="1" t="s">
        <v>2161</v>
      </c>
      <c r="J5" s="1" t="s">
        <v>2162</v>
      </c>
      <c r="K5" s="1" t="s">
        <v>2163</v>
      </c>
      <c r="L5" s="1" t="s">
        <v>2164</v>
      </c>
      <c r="M5" s="1" t="s">
        <v>2165</v>
      </c>
      <c r="N5" s="1" t="s">
        <v>2166</v>
      </c>
      <c r="O5" s="1" t="s">
        <v>16</v>
      </c>
      <c r="P5" s="1">
        <v>2025</v>
      </c>
      <c r="Q5" s="1">
        <v>18</v>
      </c>
      <c r="R5" s="1">
        <v>9</v>
      </c>
      <c r="S5" s="1">
        <v>2515</v>
      </c>
      <c r="T5" s="1">
        <v>2530</v>
      </c>
      <c r="U5" s="1" t="s">
        <v>2167</v>
      </c>
      <c r="V5" s="1" t="str">
        <f>HYPERLINK("http://dx.doi.org/10.1007/s12273-025-1349-0","http://dx.doi.org/10.1007/s12273-025-1349-0")</f>
        <v>http://dx.doi.org/10.1007/s12273-025-1349-0</v>
      </c>
    </row>
    <row r="6" spans="1:22" x14ac:dyDescent="0.4">
      <c r="C6" s="1" t="s">
        <v>1856</v>
      </c>
      <c r="D6" s="1" t="s">
        <v>1857</v>
      </c>
      <c r="E6" s="1" t="s">
        <v>1858</v>
      </c>
      <c r="F6" s="1" t="s">
        <v>12</v>
      </c>
      <c r="G6" s="1" t="s">
        <v>262</v>
      </c>
      <c r="H6" s="1" t="s">
        <v>1859</v>
      </c>
      <c r="I6" s="1" t="s">
        <v>1860</v>
      </c>
      <c r="J6" s="1" t="s">
        <v>1861</v>
      </c>
      <c r="K6" s="1" t="s">
        <v>1862</v>
      </c>
      <c r="L6" s="1" t="s">
        <v>1863</v>
      </c>
      <c r="M6" s="1" t="s">
        <v>1864</v>
      </c>
      <c r="N6" s="1" t="s">
        <v>1865</v>
      </c>
      <c r="O6" s="1" t="s">
        <v>27</v>
      </c>
      <c r="P6" s="1">
        <v>2025</v>
      </c>
      <c r="Q6" s="1">
        <v>18</v>
      </c>
      <c r="R6" s="1">
        <v>12</v>
      </c>
      <c r="S6" s="1">
        <v>3275</v>
      </c>
      <c r="T6" s="1">
        <v>3294</v>
      </c>
      <c r="U6" s="1" t="s">
        <v>1866</v>
      </c>
      <c r="V6" s="1" t="str">
        <f>HYPERLINK("http://dx.doi.org/10.1007/s12273-025-1356-1","http://dx.doi.org/10.1007/s12273-025-1356-1")</f>
        <v>http://dx.doi.org/10.1007/s12273-025-1356-1</v>
      </c>
    </row>
    <row r="7" spans="1:22" ht="13.7" x14ac:dyDescent="0.5">
      <c r="A7" s="4"/>
      <c r="B7" s="4"/>
      <c r="C7" s="1" t="s">
        <v>1610</v>
      </c>
      <c r="D7" s="1" t="s">
        <v>1611</v>
      </c>
      <c r="E7" s="1" t="s">
        <v>1612</v>
      </c>
      <c r="F7" s="1" t="s">
        <v>12</v>
      </c>
      <c r="G7" s="1" t="s">
        <v>1080</v>
      </c>
      <c r="H7" s="1" t="s">
        <v>1613</v>
      </c>
      <c r="I7" s="1" t="s">
        <v>1614</v>
      </c>
      <c r="J7" s="1" t="s">
        <v>1615</v>
      </c>
      <c r="K7" s="1" t="s">
        <v>1616</v>
      </c>
      <c r="L7" s="1" t="s">
        <v>1617</v>
      </c>
      <c r="M7" s="1" t="s">
        <v>1618</v>
      </c>
      <c r="N7" s="1" t="s">
        <v>1619</v>
      </c>
      <c r="O7" s="1" t="s">
        <v>1524</v>
      </c>
      <c r="P7" s="1">
        <v>2025</v>
      </c>
      <c r="Q7" s="1">
        <v>18</v>
      </c>
      <c r="R7" s="1">
        <v>1</v>
      </c>
      <c r="S7" s="1">
        <v>161</v>
      </c>
      <c r="T7" s="1">
        <v>181</v>
      </c>
      <c r="U7" s="1" t="s">
        <v>1620</v>
      </c>
      <c r="V7" s="1" t="str">
        <f>HYPERLINK("http://dx.doi.org/10.1007/s12273-024-1200-z","http://dx.doi.org/10.1007/s12273-024-1200-z")</f>
        <v>http://dx.doi.org/10.1007/s12273-024-1200-z</v>
      </c>
    </row>
    <row r="8" spans="1:22" x14ac:dyDescent="0.4">
      <c r="C8" s="1" t="s">
        <v>1904</v>
      </c>
      <c r="D8" s="1" t="s">
        <v>1905</v>
      </c>
      <c r="E8" s="1" t="s">
        <v>1906</v>
      </c>
      <c r="F8" s="1" t="s">
        <v>12</v>
      </c>
      <c r="G8" s="1" t="s">
        <v>262</v>
      </c>
      <c r="H8" s="1" t="s">
        <v>1907</v>
      </c>
      <c r="I8" s="1" t="s">
        <v>296</v>
      </c>
      <c r="J8" s="1" t="s">
        <v>1908</v>
      </c>
      <c r="K8" s="1" t="s">
        <v>1909</v>
      </c>
      <c r="L8" s="1" t="s">
        <v>1910</v>
      </c>
      <c r="M8" s="1" t="s">
        <v>1911</v>
      </c>
      <c r="N8" s="1" t="s">
        <v>1912</v>
      </c>
      <c r="O8" s="1" t="s">
        <v>27</v>
      </c>
      <c r="P8" s="1">
        <v>2025</v>
      </c>
      <c r="Q8" s="1">
        <v>18</v>
      </c>
      <c r="R8" s="1">
        <v>12</v>
      </c>
      <c r="S8" s="1">
        <v>3337</v>
      </c>
      <c r="T8" s="1">
        <v>3356</v>
      </c>
      <c r="U8" s="1" t="s">
        <v>1913</v>
      </c>
      <c r="V8" s="1" t="str">
        <f>HYPERLINK("http://dx.doi.org/10.1007/s12273-025-1374-z","http://dx.doi.org/10.1007/s12273-025-1374-z")</f>
        <v>http://dx.doi.org/10.1007/s12273-025-1374-z</v>
      </c>
    </row>
    <row r="9" spans="1:22" x14ac:dyDescent="0.4">
      <c r="C9" s="1" t="s">
        <v>2181</v>
      </c>
      <c r="D9" s="1" t="s">
        <v>2182</v>
      </c>
      <c r="E9" s="1" t="s">
        <v>2183</v>
      </c>
      <c r="F9" s="1" t="s">
        <v>12</v>
      </c>
      <c r="G9" s="1" t="s">
        <v>262</v>
      </c>
      <c r="H9" s="1" t="s">
        <v>2184</v>
      </c>
      <c r="I9" s="1" t="s">
        <v>2185</v>
      </c>
      <c r="J9" s="1" t="s">
        <v>2186</v>
      </c>
      <c r="K9" s="1" t="s">
        <v>2187</v>
      </c>
      <c r="L9" s="1" t="s">
        <v>2188</v>
      </c>
      <c r="M9" s="1" t="s">
        <v>2189</v>
      </c>
      <c r="N9" s="1" t="s">
        <v>2190</v>
      </c>
      <c r="O9" s="1" t="s">
        <v>15</v>
      </c>
      <c r="P9" s="1">
        <v>2025</v>
      </c>
      <c r="Q9" s="1">
        <v>18</v>
      </c>
      <c r="R9" s="1">
        <v>10</v>
      </c>
      <c r="S9" s="1">
        <v>2723</v>
      </c>
      <c r="T9" s="1">
        <v>2739</v>
      </c>
      <c r="U9" s="1" t="s">
        <v>2191</v>
      </c>
      <c r="V9" s="1" t="str">
        <f>HYPERLINK("http://dx.doi.org/10.1007/s12273-025-1347-2","http://dx.doi.org/10.1007/s12273-025-1347-2")</f>
        <v>http://dx.doi.org/10.1007/s12273-025-1347-2</v>
      </c>
    </row>
    <row r="10" spans="1:22" x14ac:dyDescent="0.4">
      <c r="C10" s="1" t="s">
        <v>2442</v>
      </c>
      <c r="D10" s="1" t="s">
        <v>2443</v>
      </c>
      <c r="E10" s="1" t="s">
        <v>2444</v>
      </c>
      <c r="F10" s="1" t="s">
        <v>12</v>
      </c>
      <c r="G10" s="1" t="s">
        <v>262</v>
      </c>
      <c r="H10" s="1" t="s">
        <v>2445</v>
      </c>
      <c r="I10" s="1" t="s">
        <v>2446</v>
      </c>
      <c r="J10" s="1" t="s">
        <v>2447</v>
      </c>
      <c r="K10" s="1" t="s">
        <v>2448</v>
      </c>
      <c r="L10" s="1" t="s">
        <v>2449</v>
      </c>
      <c r="M10" s="1" t="s">
        <v>2450</v>
      </c>
      <c r="N10" s="1" t="s">
        <v>2451</v>
      </c>
      <c r="O10" s="1" t="s">
        <v>19</v>
      </c>
      <c r="P10" s="1">
        <v>2025</v>
      </c>
      <c r="Q10" s="1">
        <v>18</v>
      </c>
      <c r="R10" s="1">
        <v>8</v>
      </c>
      <c r="S10" s="1">
        <v>1963</v>
      </c>
      <c r="T10" s="1">
        <v>1999</v>
      </c>
      <c r="U10" s="1" t="s">
        <v>2452</v>
      </c>
      <c r="V10" s="1" t="str">
        <f>HYPERLINK("http://dx.doi.org/10.1007/s12273-025-1300-4","http://dx.doi.org/10.1007/s12273-025-1300-4")</f>
        <v>http://dx.doi.org/10.1007/s12273-025-1300-4</v>
      </c>
    </row>
    <row r="11" spans="1:22" x14ac:dyDescent="0.4">
      <c r="C11" s="1" t="s">
        <v>2566</v>
      </c>
      <c r="D11" s="1" t="s">
        <v>2567</v>
      </c>
      <c r="E11" s="1" t="s">
        <v>2568</v>
      </c>
      <c r="F11" s="1" t="s">
        <v>12</v>
      </c>
      <c r="G11" s="1" t="s">
        <v>262</v>
      </c>
      <c r="H11" s="1" t="s">
        <v>2569</v>
      </c>
      <c r="I11" s="1" t="s">
        <v>11</v>
      </c>
      <c r="J11" s="1" t="s">
        <v>2570</v>
      </c>
      <c r="K11" s="1" t="s">
        <v>2571</v>
      </c>
      <c r="L11" s="1" t="s">
        <v>2572</v>
      </c>
      <c r="M11" s="1" t="s">
        <v>2573</v>
      </c>
      <c r="N11" s="1" t="s">
        <v>2574</v>
      </c>
      <c r="O11" s="1" t="s">
        <v>19</v>
      </c>
      <c r="P11" s="1">
        <v>2025</v>
      </c>
      <c r="Q11" s="1">
        <v>18</v>
      </c>
      <c r="R11" s="1">
        <v>8</v>
      </c>
      <c r="S11" s="1">
        <v>2115</v>
      </c>
      <c r="T11" s="1">
        <v>2133</v>
      </c>
      <c r="U11" s="1" t="s">
        <v>2575</v>
      </c>
      <c r="V11" s="1" t="str">
        <f>HYPERLINK("http://dx.doi.org/10.1007/s12273-025-1260-8","http://dx.doi.org/10.1007/s12273-025-1260-8")</f>
        <v>http://dx.doi.org/10.1007/s12273-025-1260-8</v>
      </c>
    </row>
    <row r="12" spans="1:22" x14ac:dyDescent="0.4">
      <c r="C12" s="1" t="s">
        <v>2623</v>
      </c>
      <c r="D12" s="1" t="s">
        <v>2624</v>
      </c>
      <c r="E12" s="1" t="s">
        <v>2625</v>
      </c>
      <c r="F12" s="1" t="s">
        <v>12</v>
      </c>
      <c r="G12" s="1" t="s">
        <v>262</v>
      </c>
      <c r="H12" s="1" t="s">
        <v>2626</v>
      </c>
      <c r="I12" s="1" t="s">
        <v>2627</v>
      </c>
      <c r="J12" s="1" t="s">
        <v>2628</v>
      </c>
      <c r="K12" s="1" t="s">
        <v>2629</v>
      </c>
      <c r="L12" s="1" t="s">
        <v>2630</v>
      </c>
      <c r="M12" s="1" t="s">
        <v>2631</v>
      </c>
      <c r="N12" s="1" t="s">
        <v>2632</v>
      </c>
      <c r="O12" s="1" t="s">
        <v>19</v>
      </c>
      <c r="P12" s="1">
        <v>2025</v>
      </c>
      <c r="Q12" s="1">
        <v>18</v>
      </c>
      <c r="R12" s="1">
        <v>8</v>
      </c>
      <c r="S12" s="1">
        <v>2039</v>
      </c>
      <c r="T12" s="1">
        <v>2055</v>
      </c>
      <c r="U12" s="1" t="s">
        <v>2633</v>
      </c>
      <c r="V12" s="1" t="str">
        <f>HYPERLINK("http://dx.doi.org/10.1007/s12273-025-1295-x","http://dx.doi.org/10.1007/s12273-025-1295-x")</f>
        <v>http://dx.doi.org/10.1007/s12273-025-1295-x</v>
      </c>
    </row>
    <row r="13" spans="1:22" x14ac:dyDescent="0.4">
      <c r="C13" s="1" t="s">
        <v>2669</v>
      </c>
      <c r="D13" s="1" t="s">
        <v>2670</v>
      </c>
      <c r="E13" s="1" t="s">
        <v>2671</v>
      </c>
      <c r="F13" s="1" t="s">
        <v>12</v>
      </c>
      <c r="G13" s="1" t="s">
        <v>262</v>
      </c>
      <c r="H13" s="1" t="s">
        <v>2672</v>
      </c>
      <c r="I13" s="1" t="s">
        <v>2673</v>
      </c>
      <c r="J13" s="1" t="s">
        <v>2674</v>
      </c>
      <c r="K13" s="1" t="s">
        <v>2675</v>
      </c>
      <c r="L13" s="1" t="s">
        <v>2676</v>
      </c>
      <c r="M13" s="1" t="s">
        <v>2677</v>
      </c>
      <c r="N13" s="1" t="s">
        <v>2678</v>
      </c>
      <c r="O13" s="1" t="s">
        <v>22</v>
      </c>
      <c r="P13" s="1">
        <v>2025</v>
      </c>
      <c r="Q13" s="1">
        <v>18</v>
      </c>
      <c r="R13" s="1">
        <v>6</v>
      </c>
      <c r="S13" s="1">
        <v>1497</v>
      </c>
      <c r="T13" s="1">
        <v>1514</v>
      </c>
      <c r="U13" s="1" t="s">
        <v>2679</v>
      </c>
      <c r="V13" s="1" t="str">
        <f>HYPERLINK("http://dx.doi.org/10.1007/s12273-025-1308-9","http://dx.doi.org/10.1007/s12273-025-1308-9")</f>
        <v>http://dx.doi.org/10.1007/s12273-025-1308-9</v>
      </c>
    </row>
    <row r="14" spans="1:22" x14ac:dyDescent="0.4">
      <c r="C14" s="1" t="s">
        <v>2928</v>
      </c>
      <c r="D14" s="1" t="s">
        <v>2929</v>
      </c>
      <c r="E14" s="1" t="s">
        <v>2930</v>
      </c>
      <c r="F14" s="1" t="s">
        <v>12</v>
      </c>
      <c r="G14" s="1" t="s">
        <v>262</v>
      </c>
      <c r="H14" s="1" t="s">
        <v>2931</v>
      </c>
      <c r="I14" s="1" t="s">
        <v>2932</v>
      </c>
      <c r="J14" s="1" t="s">
        <v>2933</v>
      </c>
      <c r="K14" s="1" t="s">
        <v>2934</v>
      </c>
      <c r="L14" s="1" t="s">
        <v>2935</v>
      </c>
      <c r="M14" s="1" t="s">
        <v>2936</v>
      </c>
      <c r="N14" s="1" t="s">
        <v>2937</v>
      </c>
      <c r="O14" s="1" t="s">
        <v>22</v>
      </c>
      <c r="P14" s="1">
        <v>2025</v>
      </c>
      <c r="Q14" s="1">
        <v>18</v>
      </c>
      <c r="R14" s="1">
        <v>6</v>
      </c>
      <c r="S14" s="1">
        <v>1483</v>
      </c>
      <c r="T14" s="1">
        <v>1496</v>
      </c>
      <c r="U14" s="1" t="s">
        <v>2938</v>
      </c>
      <c r="V14" s="1" t="str">
        <f>HYPERLINK("http://dx.doi.org/10.1007/s12273-025-1274-2","http://dx.doi.org/10.1007/s12273-025-1274-2")</f>
        <v>http://dx.doi.org/10.1007/s12273-025-1274-2</v>
      </c>
    </row>
    <row r="15" spans="1:22" x14ac:dyDescent="0.4">
      <c r="C15" s="1" t="s">
        <v>3480</v>
      </c>
      <c r="D15" s="1" t="s">
        <v>3481</v>
      </c>
      <c r="E15" s="1" t="s">
        <v>3482</v>
      </c>
      <c r="F15" s="1" t="s">
        <v>12</v>
      </c>
      <c r="G15" s="1" t="s">
        <v>268</v>
      </c>
      <c r="H15" s="1" t="s">
        <v>3483</v>
      </c>
      <c r="I15" s="1" t="s">
        <v>3484</v>
      </c>
      <c r="J15" s="1" t="s">
        <v>3485</v>
      </c>
      <c r="K15" s="1" t="s">
        <v>3486</v>
      </c>
      <c r="L15" s="1" t="s">
        <v>392</v>
      </c>
      <c r="M15" s="1" t="s">
        <v>3487</v>
      </c>
      <c r="N15" s="1" t="s">
        <v>3488</v>
      </c>
      <c r="O15" s="1" t="s">
        <v>19</v>
      </c>
      <c r="P15" s="1">
        <v>2025</v>
      </c>
      <c r="Q15" s="1">
        <v>18</v>
      </c>
      <c r="R15" s="1">
        <v>8</v>
      </c>
      <c r="S15" s="1">
        <v>1903</v>
      </c>
      <c r="T15" s="1">
        <v>1907</v>
      </c>
      <c r="U15" s="1" t="s">
        <v>3489</v>
      </c>
      <c r="V15" s="1" t="str">
        <f>HYPERLINK("http://dx.doi.org/10.1007/s12273-025-1316-9","http://dx.doi.org/10.1007/s12273-025-1316-9")</f>
        <v>http://dx.doi.org/10.1007/s12273-025-1316-9</v>
      </c>
    </row>
    <row r="17" spans="1:22" ht="13.7" x14ac:dyDescent="0.5">
      <c r="A17" s="4" t="s">
        <v>97</v>
      </c>
      <c r="B17" s="10" t="s">
        <v>124</v>
      </c>
      <c r="E17" s="4"/>
      <c r="F17" s="10"/>
    </row>
    <row r="18" spans="1:22" x14ac:dyDescent="0.4">
      <c r="C18" s="1" t="s">
        <v>1904</v>
      </c>
      <c r="D18" s="1" t="s">
        <v>1905</v>
      </c>
      <c r="E18" s="1" t="s">
        <v>1906</v>
      </c>
      <c r="F18" s="1" t="s">
        <v>12</v>
      </c>
      <c r="G18" s="1" t="s">
        <v>262</v>
      </c>
      <c r="H18" s="1" t="s">
        <v>1907</v>
      </c>
      <c r="I18" s="1" t="s">
        <v>296</v>
      </c>
      <c r="J18" s="1" t="s">
        <v>1908</v>
      </c>
      <c r="K18" s="1" t="s">
        <v>1909</v>
      </c>
      <c r="L18" s="1" t="s">
        <v>1910</v>
      </c>
      <c r="M18" s="1" t="s">
        <v>1911</v>
      </c>
      <c r="N18" s="1" t="s">
        <v>1912</v>
      </c>
      <c r="O18" s="1" t="s">
        <v>27</v>
      </c>
      <c r="P18" s="1">
        <v>2025</v>
      </c>
      <c r="Q18" s="1">
        <v>18</v>
      </c>
      <c r="R18" s="1">
        <v>12</v>
      </c>
      <c r="S18" s="1">
        <v>3337</v>
      </c>
      <c r="T18" s="1">
        <v>3356</v>
      </c>
      <c r="U18" s="1" t="s">
        <v>1913</v>
      </c>
      <c r="V18" s="1" t="str">
        <f>HYPERLINK("http://dx.doi.org/10.1007/s12273-025-1374-z","http://dx.doi.org/10.1007/s12273-025-1374-z")</f>
        <v>http://dx.doi.org/10.1007/s12273-025-1374-z</v>
      </c>
    </row>
    <row r="19" spans="1:22" x14ac:dyDescent="0.4">
      <c r="C19" s="1" t="s">
        <v>2407</v>
      </c>
      <c r="D19" s="1" t="s">
        <v>2408</v>
      </c>
      <c r="E19" s="1" t="s">
        <v>2409</v>
      </c>
      <c r="F19" s="1" t="s">
        <v>12</v>
      </c>
      <c r="G19" s="1" t="s">
        <v>262</v>
      </c>
      <c r="H19" s="1" t="s">
        <v>2410</v>
      </c>
      <c r="I19" s="1" t="s">
        <v>2411</v>
      </c>
      <c r="J19" s="1" t="s">
        <v>2412</v>
      </c>
      <c r="K19" s="1" t="s">
        <v>2413</v>
      </c>
      <c r="L19" s="1" t="s">
        <v>269</v>
      </c>
      <c r="M19" s="1" t="s">
        <v>2414</v>
      </c>
      <c r="N19" s="1" t="s">
        <v>2415</v>
      </c>
      <c r="O19" s="1" t="s">
        <v>20</v>
      </c>
      <c r="P19" s="1">
        <v>2025</v>
      </c>
      <c r="Q19" s="1">
        <v>18</v>
      </c>
      <c r="R19" s="1">
        <v>7</v>
      </c>
      <c r="S19" s="1">
        <v>1799</v>
      </c>
      <c r="T19" s="1">
        <v>1818</v>
      </c>
      <c r="U19" s="1" t="s">
        <v>2416</v>
      </c>
      <c r="V19" s="1" t="str">
        <f>HYPERLINK("http://dx.doi.org/10.1007/s12273-025-1273-3","http://dx.doi.org/10.1007/s12273-025-1273-3")</f>
        <v>http://dx.doi.org/10.1007/s12273-025-1273-3</v>
      </c>
    </row>
    <row r="20" spans="1:22" x14ac:dyDescent="0.4">
      <c r="C20" s="1" t="s">
        <v>880</v>
      </c>
      <c r="D20" s="1" t="s">
        <v>881</v>
      </c>
      <c r="E20" s="1" t="s">
        <v>882</v>
      </c>
      <c r="F20" s="1" t="s">
        <v>12</v>
      </c>
      <c r="G20" s="1" t="s">
        <v>262</v>
      </c>
      <c r="H20" s="1" t="s">
        <v>883</v>
      </c>
      <c r="I20" s="1" t="s">
        <v>884</v>
      </c>
      <c r="J20" s="1" t="s">
        <v>885</v>
      </c>
      <c r="K20" s="1" t="s">
        <v>886</v>
      </c>
      <c r="L20" s="1" t="s">
        <v>11</v>
      </c>
      <c r="M20" s="1" t="s">
        <v>721</v>
      </c>
      <c r="N20" s="1" t="s">
        <v>722</v>
      </c>
      <c r="O20" s="1" t="s">
        <v>19</v>
      </c>
      <c r="P20" s="1">
        <v>2024</v>
      </c>
      <c r="Q20" s="1">
        <v>17</v>
      </c>
      <c r="R20" s="1">
        <v>8</v>
      </c>
      <c r="S20" s="1">
        <v>1335</v>
      </c>
      <c r="T20" s="1">
        <v>1358</v>
      </c>
      <c r="U20" s="1" t="s">
        <v>887</v>
      </c>
      <c r="V20" s="1" t="str">
        <f>HYPERLINK("http://dx.doi.org/10.1007/s12273-024-1128-3","http://dx.doi.org/10.1007/s12273-024-1128-3")</f>
        <v>http://dx.doi.org/10.1007/s12273-024-1128-3</v>
      </c>
    </row>
    <row r="21" spans="1:22" x14ac:dyDescent="0.4">
      <c r="C21" s="1" t="s">
        <v>2828</v>
      </c>
      <c r="D21" s="1" t="s">
        <v>2829</v>
      </c>
      <c r="E21" s="1" t="s">
        <v>2830</v>
      </c>
      <c r="F21" s="1" t="s">
        <v>12</v>
      </c>
      <c r="G21" s="1" t="s">
        <v>262</v>
      </c>
      <c r="H21" s="1" t="s">
        <v>2831</v>
      </c>
      <c r="I21" s="1" t="s">
        <v>2832</v>
      </c>
      <c r="J21" s="1" t="s">
        <v>2833</v>
      </c>
      <c r="K21" s="1" t="s">
        <v>2834</v>
      </c>
      <c r="L21" s="1" t="s">
        <v>2835</v>
      </c>
      <c r="M21" s="1" t="s">
        <v>2836</v>
      </c>
      <c r="N21" s="1" t="s">
        <v>2837</v>
      </c>
      <c r="O21" s="1" t="s">
        <v>22</v>
      </c>
      <c r="P21" s="1">
        <v>2025</v>
      </c>
      <c r="Q21" s="1">
        <v>18</v>
      </c>
      <c r="R21" s="1">
        <v>6</v>
      </c>
      <c r="S21" s="1">
        <v>1467</v>
      </c>
      <c r="T21" s="1">
        <v>1482</v>
      </c>
      <c r="U21" s="1" t="s">
        <v>2838</v>
      </c>
      <c r="V21" s="1" t="str">
        <f>HYPERLINK("http://dx.doi.org/10.1007/s12273-025-1292-0","http://dx.doi.org/10.1007/s12273-025-1292-0")</f>
        <v>http://dx.doi.org/10.1007/s12273-025-1292-0</v>
      </c>
    </row>
    <row r="22" spans="1:22" x14ac:dyDescent="0.4">
      <c r="C22" s="1" t="s">
        <v>1644</v>
      </c>
      <c r="D22" s="1" t="s">
        <v>1645</v>
      </c>
      <c r="E22" s="1" t="s">
        <v>1646</v>
      </c>
      <c r="F22" s="1" t="s">
        <v>12</v>
      </c>
      <c r="G22" s="1" t="s">
        <v>1756</v>
      </c>
      <c r="H22" s="1" t="s">
        <v>1647</v>
      </c>
      <c r="I22" s="1" t="s">
        <v>1648</v>
      </c>
      <c r="J22" s="1" t="s">
        <v>1649</v>
      </c>
      <c r="K22" s="1" t="s">
        <v>1650</v>
      </c>
      <c r="L22" s="1" t="s">
        <v>1651</v>
      </c>
      <c r="M22" s="1" t="s">
        <v>1652</v>
      </c>
      <c r="N22" s="1" t="s">
        <v>1653</v>
      </c>
      <c r="O22" s="1" t="s">
        <v>1757</v>
      </c>
      <c r="P22" s="1">
        <v>2025</v>
      </c>
      <c r="Q22" s="1">
        <v>18</v>
      </c>
      <c r="R22" s="1">
        <v>2</v>
      </c>
      <c r="S22" s="1">
        <v>235</v>
      </c>
      <c r="T22" s="1">
        <v>258</v>
      </c>
      <c r="U22" s="1" t="s">
        <v>1655</v>
      </c>
      <c r="V22" s="1" t="str">
        <f>HYPERLINK("http://dx.doi.org/10.1007/s12273-024-1203-9","http://dx.doi.org/10.1007/s12273-024-1203-9")</f>
        <v>http://dx.doi.org/10.1007/s12273-024-1203-9</v>
      </c>
    </row>
  </sheetData>
  <phoneticPr fontId="2" type="noConversion"/>
  <conditionalFormatting sqref="U1">
    <cfRule type="duplicateValues" dxfId="161" priority="16" stopIfTrue="1"/>
  </conditionalFormatting>
  <conditionalFormatting sqref="U3">
    <cfRule type="duplicateValues" dxfId="160" priority="17" stopIfTrue="1"/>
  </conditionalFormatting>
  <conditionalFormatting sqref="U5">
    <cfRule type="duplicateValues" dxfId="159" priority="11" stopIfTrue="1"/>
  </conditionalFormatting>
  <conditionalFormatting sqref="U6">
    <cfRule type="duplicateValues" dxfId="158" priority="15" stopIfTrue="1"/>
  </conditionalFormatting>
  <conditionalFormatting sqref="U7">
    <cfRule type="duplicateValues" dxfId="157" priority="19" stopIfTrue="1"/>
  </conditionalFormatting>
  <conditionalFormatting sqref="U8">
    <cfRule type="duplicateValues" dxfId="156" priority="13" stopIfTrue="1"/>
  </conditionalFormatting>
  <conditionalFormatting sqref="U9">
    <cfRule type="duplicateValues" dxfId="155" priority="9" stopIfTrue="1"/>
  </conditionalFormatting>
  <conditionalFormatting sqref="U10">
    <cfRule type="duplicateValues" dxfId="154" priority="7" stopIfTrue="1"/>
  </conditionalFormatting>
  <conditionalFormatting sqref="U11">
    <cfRule type="duplicateValues" dxfId="153" priority="6" stopIfTrue="1"/>
  </conditionalFormatting>
  <conditionalFormatting sqref="U12">
    <cfRule type="duplicateValues" dxfId="152" priority="5" stopIfTrue="1"/>
  </conditionalFormatting>
  <conditionalFormatting sqref="U13">
    <cfRule type="duplicateValues" dxfId="151" priority="4" stopIfTrue="1"/>
  </conditionalFormatting>
  <conditionalFormatting sqref="U14">
    <cfRule type="duplicateValues" dxfId="150" priority="2" stopIfTrue="1"/>
  </conditionalFormatting>
  <conditionalFormatting sqref="U15:U16">
    <cfRule type="duplicateValues" dxfId="149" priority="1" stopIfTrue="1"/>
  </conditionalFormatting>
  <conditionalFormatting sqref="U18">
    <cfRule type="duplicateValues" dxfId="148" priority="12" stopIfTrue="1"/>
  </conditionalFormatting>
  <conditionalFormatting sqref="U19">
    <cfRule type="duplicateValues" dxfId="147" priority="8" stopIfTrue="1"/>
  </conditionalFormatting>
  <conditionalFormatting sqref="U20">
    <cfRule type="duplicateValues" dxfId="146" priority="20" stopIfTrue="1"/>
  </conditionalFormatting>
  <conditionalFormatting sqref="U21">
    <cfRule type="duplicateValues" dxfId="145" priority="3" stopIfTrue="1"/>
  </conditionalFormatting>
  <conditionalFormatting sqref="U22">
    <cfRule type="duplicateValues" dxfId="144" priority="18" stopIfTrue="1"/>
  </conditionalFormatting>
  <conditionalFormatting sqref="U26">
    <cfRule type="duplicateValues" dxfId="143" priority="14" stopIfTrue="1"/>
  </conditionalFormatting>
  <conditionalFormatting sqref="U27">
    <cfRule type="duplicateValues" dxfId="142" priority="10"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8"/>
  <sheetViews>
    <sheetView workbookViewId="0">
      <selection activeCell="A20" sqref="A20"/>
    </sheetView>
  </sheetViews>
  <sheetFormatPr defaultColWidth="9.1171875" defaultRowHeight="12.7" x14ac:dyDescent="0.4"/>
  <cols>
    <col min="1" max="1" width="15.29296875" style="1" customWidth="1"/>
    <col min="2" max="2" width="17.41015625" style="1" customWidth="1"/>
    <col min="3" max="3" width="21.87890625" style="1" customWidth="1"/>
    <col min="4" max="4" width="29.5859375" style="1" bestFit="1" customWidth="1"/>
    <col min="5" max="5" width="21.87890625" style="1" customWidth="1"/>
    <col min="6" max="6" width="29.5859375" style="1" bestFit="1" customWidth="1"/>
    <col min="7" max="16384" width="9.1171875" style="1"/>
  </cols>
  <sheetData>
    <row r="1" spans="1:22" s="9" customFormat="1" ht="38" x14ac:dyDescent="0.4">
      <c r="C1" s="16" t="s">
        <v>162</v>
      </c>
      <c r="D1" s="16" t="s">
        <v>0</v>
      </c>
      <c r="E1" s="16" t="s">
        <v>161</v>
      </c>
      <c r="F1" s="16" t="s">
        <v>1</v>
      </c>
      <c r="G1" s="16" t="s">
        <v>255</v>
      </c>
      <c r="H1" s="16" t="s">
        <v>163</v>
      </c>
      <c r="I1" s="16" t="s">
        <v>254</v>
      </c>
      <c r="J1" s="16" t="s">
        <v>164</v>
      </c>
      <c r="K1" s="16" t="s">
        <v>256</v>
      </c>
      <c r="L1" s="16" t="s">
        <v>257</v>
      </c>
      <c r="M1" s="16" t="s">
        <v>258</v>
      </c>
      <c r="N1" s="16" t="s">
        <v>259</v>
      </c>
      <c r="O1" s="16" t="s">
        <v>2</v>
      </c>
      <c r="P1" s="16" t="s">
        <v>3</v>
      </c>
      <c r="Q1" s="16" t="s">
        <v>4</v>
      </c>
      <c r="R1" s="16" t="s">
        <v>5</v>
      </c>
      <c r="S1" s="16" t="s">
        <v>6</v>
      </c>
      <c r="T1" s="16" t="s">
        <v>7</v>
      </c>
      <c r="U1" s="16" t="s">
        <v>8</v>
      </c>
      <c r="V1" s="16" t="s">
        <v>9</v>
      </c>
    </row>
    <row r="2" spans="1:22" ht="13.7" x14ac:dyDescent="0.4">
      <c r="A2" s="2" t="s">
        <v>126</v>
      </c>
      <c r="B2" s="17" t="s">
        <v>127</v>
      </c>
      <c r="E2" s="2"/>
      <c r="F2" s="17"/>
    </row>
    <row r="3" spans="1:22" x14ac:dyDescent="0.4">
      <c r="C3" s="1" t="s">
        <v>310</v>
      </c>
      <c r="D3" s="1" t="s">
        <v>311</v>
      </c>
      <c r="E3" s="1" t="s">
        <v>312</v>
      </c>
      <c r="F3" s="1" t="s">
        <v>12</v>
      </c>
      <c r="G3" s="1" t="s">
        <v>268</v>
      </c>
      <c r="H3" s="1" t="s">
        <v>11</v>
      </c>
      <c r="I3" s="1" t="s">
        <v>11</v>
      </c>
      <c r="J3" s="1" t="s">
        <v>11</v>
      </c>
      <c r="K3" s="1" t="s">
        <v>313</v>
      </c>
      <c r="L3" s="1" t="s">
        <v>264</v>
      </c>
      <c r="M3" s="1" t="s">
        <v>314</v>
      </c>
      <c r="N3" s="1" t="s">
        <v>265</v>
      </c>
      <c r="O3" s="1" t="s">
        <v>26</v>
      </c>
      <c r="P3" s="1">
        <v>2024</v>
      </c>
      <c r="Q3" s="1">
        <v>17</v>
      </c>
      <c r="R3" s="1">
        <v>2</v>
      </c>
      <c r="S3" s="1">
        <v>185</v>
      </c>
      <c r="T3" s="1">
        <v>188</v>
      </c>
      <c r="U3" s="1" t="s">
        <v>315</v>
      </c>
      <c r="V3" s="1" t="str">
        <f>HYPERLINK("http://dx.doi.org/10.1007/s12273-024-1107-8","http://dx.doi.org/10.1007/s12273-024-1107-8")</f>
        <v>http://dx.doi.org/10.1007/s12273-024-1107-8</v>
      </c>
    </row>
    <row r="4" spans="1:22" ht="13.7" x14ac:dyDescent="0.4">
      <c r="A4" s="2"/>
      <c r="B4" s="2"/>
      <c r="C4" s="1" t="s">
        <v>889</v>
      </c>
      <c r="D4" s="1" t="s">
        <v>890</v>
      </c>
      <c r="E4" s="1" t="s">
        <v>891</v>
      </c>
      <c r="F4" s="1" t="s">
        <v>12</v>
      </c>
      <c r="G4" s="1" t="s">
        <v>262</v>
      </c>
      <c r="H4" s="1" t="s">
        <v>892</v>
      </c>
      <c r="I4" s="1" t="s">
        <v>893</v>
      </c>
      <c r="J4" s="1" t="s">
        <v>894</v>
      </c>
      <c r="K4" s="1" t="s">
        <v>895</v>
      </c>
      <c r="L4" s="1" t="s">
        <v>896</v>
      </c>
      <c r="M4" s="1" t="s">
        <v>897</v>
      </c>
      <c r="N4" s="1" t="s">
        <v>898</v>
      </c>
      <c r="O4" s="1" t="s">
        <v>19</v>
      </c>
      <c r="P4" s="1">
        <v>2024</v>
      </c>
      <c r="Q4" s="1">
        <v>17</v>
      </c>
      <c r="R4" s="1">
        <v>8</v>
      </c>
      <c r="S4" s="1">
        <v>1359</v>
      </c>
      <c r="T4" s="1">
        <v>1377</v>
      </c>
      <c r="U4" s="1" t="s">
        <v>899</v>
      </c>
      <c r="V4" s="1" t="str">
        <f>HYPERLINK("http://dx.doi.org/10.1007/s12273-024-1133-6","http://dx.doi.org/10.1007/s12273-024-1133-6")</f>
        <v>http://dx.doi.org/10.1007/s12273-024-1133-6</v>
      </c>
    </row>
    <row r="5" spans="1:22" x14ac:dyDescent="0.4">
      <c r="A5" s="10"/>
      <c r="B5" s="10"/>
      <c r="C5" s="1" t="s">
        <v>913</v>
      </c>
      <c r="D5" s="1" t="s">
        <v>914</v>
      </c>
      <c r="E5" s="1" t="s">
        <v>915</v>
      </c>
      <c r="F5" s="1" t="s">
        <v>12</v>
      </c>
      <c r="G5" s="1" t="s">
        <v>262</v>
      </c>
      <c r="H5" s="1" t="s">
        <v>916</v>
      </c>
      <c r="I5" s="1" t="s">
        <v>917</v>
      </c>
      <c r="J5" s="1" t="s">
        <v>918</v>
      </c>
      <c r="K5" s="1" t="s">
        <v>919</v>
      </c>
      <c r="L5" s="1" t="s">
        <v>264</v>
      </c>
      <c r="M5" s="1" t="s">
        <v>920</v>
      </c>
      <c r="N5" s="1" t="s">
        <v>265</v>
      </c>
      <c r="O5" s="1" t="s">
        <v>19</v>
      </c>
      <c r="P5" s="1">
        <v>2024</v>
      </c>
      <c r="Q5" s="1">
        <v>17</v>
      </c>
      <c r="R5" s="1">
        <v>8</v>
      </c>
      <c r="S5" s="1">
        <v>1401</v>
      </c>
      <c r="T5" s="1">
        <v>1417</v>
      </c>
      <c r="U5" s="1" t="s">
        <v>921</v>
      </c>
      <c r="V5" s="1" t="str">
        <f>HYPERLINK("http://dx.doi.org/10.1007/s12273-024-1147-0","http://dx.doi.org/10.1007/s12273-024-1147-0")</f>
        <v>http://dx.doi.org/10.1007/s12273-024-1147-0</v>
      </c>
    </row>
    <row r="6" spans="1:22" x14ac:dyDescent="0.4">
      <c r="C6" s="1" t="s">
        <v>1003</v>
      </c>
      <c r="D6" s="1" t="s">
        <v>1004</v>
      </c>
      <c r="E6" s="1" t="s">
        <v>1005</v>
      </c>
      <c r="F6" s="1" t="s">
        <v>12</v>
      </c>
      <c r="G6" s="1" t="s">
        <v>262</v>
      </c>
      <c r="H6" s="1" t="s">
        <v>1006</v>
      </c>
      <c r="I6" s="1" t="s">
        <v>1007</v>
      </c>
      <c r="J6" s="1" t="s">
        <v>1008</v>
      </c>
      <c r="K6" s="1" t="s">
        <v>1009</v>
      </c>
      <c r="L6" s="1" t="s">
        <v>1010</v>
      </c>
      <c r="M6" s="1" t="s">
        <v>1011</v>
      </c>
      <c r="N6" s="1" t="s">
        <v>1012</v>
      </c>
      <c r="O6" s="1" t="s">
        <v>16</v>
      </c>
      <c r="P6" s="1">
        <v>2024</v>
      </c>
      <c r="Q6" s="1">
        <v>17</v>
      </c>
      <c r="R6" s="1">
        <v>9</v>
      </c>
      <c r="S6" s="1">
        <v>1557</v>
      </c>
      <c r="T6" s="1">
        <v>1578</v>
      </c>
      <c r="U6" s="1" t="s">
        <v>1013</v>
      </c>
      <c r="V6" s="1" t="str">
        <f>HYPERLINK("http://dx.doi.org/10.1007/s12273-024-1142-5","http://dx.doi.org/10.1007/s12273-024-1142-5")</f>
        <v>http://dx.doi.org/10.1007/s12273-024-1142-5</v>
      </c>
    </row>
    <row r="7" spans="1:22" ht="13.7" x14ac:dyDescent="0.5">
      <c r="A7" s="4"/>
      <c r="B7" s="4"/>
      <c r="C7" s="1" t="s">
        <v>1311</v>
      </c>
      <c r="D7" s="1" t="s">
        <v>1312</v>
      </c>
      <c r="E7" s="1" t="s">
        <v>1313</v>
      </c>
      <c r="F7" s="1" t="s">
        <v>12</v>
      </c>
      <c r="G7" s="1" t="s">
        <v>262</v>
      </c>
      <c r="H7" s="1" t="s">
        <v>1314</v>
      </c>
      <c r="I7" s="1" t="s">
        <v>1315</v>
      </c>
      <c r="J7" s="1" t="s">
        <v>1316</v>
      </c>
      <c r="K7" s="1" t="s">
        <v>1317</v>
      </c>
      <c r="L7" s="1" t="s">
        <v>1318</v>
      </c>
      <c r="M7" s="1" t="s">
        <v>1319</v>
      </c>
      <c r="N7" s="1" t="s">
        <v>1320</v>
      </c>
      <c r="O7" s="1" t="s">
        <v>14</v>
      </c>
      <c r="P7" s="1">
        <v>2024</v>
      </c>
      <c r="Q7" s="1">
        <v>17</v>
      </c>
      <c r="R7" s="1">
        <v>11</v>
      </c>
      <c r="S7" s="1">
        <v>2043</v>
      </c>
      <c r="T7" s="1">
        <v>2061</v>
      </c>
      <c r="U7" s="1" t="s">
        <v>1321</v>
      </c>
      <c r="V7" s="1" t="str">
        <f>HYPERLINK("http://dx.doi.org/10.1007/s12273-024-1179-5","http://dx.doi.org/10.1007/s12273-024-1179-5")</f>
        <v>http://dx.doi.org/10.1007/s12273-024-1179-5</v>
      </c>
    </row>
    <row r="8" spans="1:22" ht="13.7" x14ac:dyDescent="0.5">
      <c r="A8" s="4"/>
      <c r="B8" s="4"/>
      <c r="C8" s="1" t="s">
        <v>1482</v>
      </c>
      <c r="D8" s="1" t="s">
        <v>1483</v>
      </c>
      <c r="E8" s="1" t="s">
        <v>1484</v>
      </c>
      <c r="F8" s="1" t="s">
        <v>12</v>
      </c>
      <c r="G8" s="1" t="s">
        <v>262</v>
      </c>
      <c r="H8" s="1" t="s">
        <v>1485</v>
      </c>
      <c r="I8" s="1" t="s">
        <v>1486</v>
      </c>
      <c r="J8" s="1" t="s">
        <v>1487</v>
      </c>
      <c r="K8" s="1" t="s">
        <v>1488</v>
      </c>
      <c r="L8" s="1" t="s">
        <v>282</v>
      </c>
      <c r="M8" s="1" t="s">
        <v>1489</v>
      </c>
      <c r="N8" s="1" t="s">
        <v>1142</v>
      </c>
      <c r="O8" s="1" t="s">
        <v>27</v>
      </c>
      <c r="P8" s="1">
        <v>2024</v>
      </c>
      <c r="Q8" s="1">
        <v>17</v>
      </c>
      <c r="R8" s="1">
        <v>12</v>
      </c>
      <c r="S8" s="1">
        <v>2311</v>
      </c>
      <c r="T8" s="1">
        <v>2329</v>
      </c>
      <c r="U8" s="1" t="s">
        <v>1490</v>
      </c>
      <c r="V8" s="1" t="str">
        <f>HYPERLINK("http://dx.doi.org/10.1007/s12273-024-1182-x","http://dx.doi.org/10.1007/s12273-024-1182-x")</f>
        <v>http://dx.doi.org/10.1007/s12273-024-1182-x</v>
      </c>
    </row>
    <row r="9" spans="1:22" ht="13.7" x14ac:dyDescent="0.5">
      <c r="A9" s="4"/>
      <c r="B9" s="4"/>
      <c r="C9" s="1" t="s">
        <v>1701</v>
      </c>
      <c r="D9" s="1" t="s">
        <v>1702</v>
      </c>
      <c r="E9" s="1" t="s">
        <v>1703</v>
      </c>
      <c r="F9" s="1" t="s">
        <v>12</v>
      </c>
      <c r="G9" s="1" t="s">
        <v>1080</v>
      </c>
      <c r="H9" s="1" t="s">
        <v>1704</v>
      </c>
      <c r="I9" s="1" t="s">
        <v>1705</v>
      </c>
      <c r="J9" s="1" t="s">
        <v>1706</v>
      </c>
      <c r="K9" s="1" t="s">
        <v>1707</v>
      </c>
      <c r="L9" s="1" t="s">
        <v>294</v>
      </c>
      <c r="M9" s="1" t="s">
        <v>1708</v>
      </c>
      <c r="N9" s="1" t="s">
        <v>1709</v>
      </c>
      <c r="O9" s="1" t="s">
        <v>1654</v>
      </c>
      <c r="P9" s="1">
        <v>2025</v>
      </c>
      <c r="Q9" s="1">
        <v>18</v>
      </c>
      <c r="R9" s="1">
        <v>2</v>
      </c>
      <c r="S9" s="1">
        <v>371</v>
      </c>
      <c r="T9" s="1">
        <v>383</v>
      </c>
      <c r="U9" s="1" t="s">
        <v>1710</v>
      </c>
      <c r="V9" s="1" t="str">
        <f>HYPERLINK("http://dx.doi.org/10.1007/s12273-024-1215-5","http://dx.doi.org/10.1007/s12273-024-1215-5")</f>
        <v>http://dx.doi.org/10.1007/s12273-024-1215-5</v>
      </c>
    </row>
    <row r="10" spans="1:22" ht="13.7" x14ac:dyDescent="0.5">
      <c r="A10" s="4"/>
      <c r="B10" s="4"/>
      <c r="C10" s="1" t="s">
        <v>1795</v>
      </c>
      <c r="D10" s="1" t="s">
        <v>1796</v>
      </c>
      <c r="E10" s="1" t="s">
        <v>1797</v>
      </c>
      <c r="F10" s="1" t="s">
        <v>12</v>
      </c>
      <c r="G10" s="1" t="s">
        <v>262</v>
      </c>
      <c r="H10" s="1" t="s">
        <v>1798</v>
      </c>
      <c r="I10" s="1" t="s">
        <v>1799</v>
      </c>
      <c r="J10" s="1" t="s">
        <v>1800</v>
      </c>
      <c r="K10" s="1" t="s">
        <v>1801</v>
      </c>
      <c r="L10" s="1" t="s">
        <v>1802</v>
      </c>
      <c r="M10" s="1" t="s">
        <v>1803</v>
      </c>
      <c r="N10" s="1" t="s">
        <v>1804</v>
      </c>
      <c r="O10" s="1" t="s">
        <v>27</v>
      </c>
      <c r="P10" s="1">
        <v>2025</v>
      </c>
      <c r="Q10" s="1">
        <v>18</v>
      </c>
      <c r="R10" s="1">
        <v>12</v>
      </c>
      <c r="S10" s="1">
        <v>3225</v>
      </c>
      <c r="T10" s="1">
        <v>3246</v>
      </c>
      <c r="U10" s="1" t="s">
        <v>1805</v>
      </c>
      <c r="V10" s="1" t="str">
        <f>HYPERLINK("http://dx.doi.org/10.1007/s12273-025-1369-9","http://dx.doi.org/10.1007/s12273-025-1369-9")</f>
        <v>http://dx.doi.org/10.1007/s12273-025-1369-9</v>
      </c>
    </row>
    <row r="11" spans="1:22" x14ac:dyDescent="0.4">
      <c r="C11" s="1" t="s">
        <v>1832</v>
      </c>
      <c r="D11" s="1" t="s">
        <v>1833</v>
      </c>
      <c r="E11" s="1" t="s">
        <v>1834</v>
      </c>
      <c r="F11" s="1" t="s">
        <v>12</v>
      </c>
      <c r="G11" s="1" t="s">
        <v>262</v>
      </c>
      <c r="H11" s="1" t="s">
        <v>1835</v>
      </c>
      <c r="I11" s="1" t="s">
        <v>1836</v>
      </c>
      <c r="J11" s="1" t="s">
        <v>1837</v>
      </c>
      <c r="K11" s="1" t="s">
        <v>1838</v>
      </c>
      <c r="L11" s="1" t="s">
        <v>1839</v>
      </c>
      <c r="M11" s="1" t="s">
        <v>1840</v>
      </c>
      <c r="N11" s="1" t="s">
        <v>1841</v>
      </c>
      <c r="O11" s="1" t="s">
        <v>27</v>
      </c>
      <c r="P11" s="1">
        <v>2025</v>
      </c>
      <c r="Q11" s="1">
        <v>18</v>
      </c>
      <c r="R11" s="1">
        <v>12</v>
      </c>
      <c r="S11" s="1">
        <v>3295</v>
      </c>
      <c r="T11" s="1">
        <v>3316</v>
      </c>
      <c r="U11" s="1" t="s">
        <v>1842</v>
      </c>
      <c r="V11" s="1" t="str">
        <f>HYPERLINK("http://dx.doi.org/10.1007/s12273-025-1357-0","http://dx.doi.org/10.1007/s12273-025-1357-0")</f>
        <v>http://dx.doi.org/10.1007/s12273-025-1357-0</v>
      </c>
    </row>
    <row r="12" spans="1:22" x14ac:dyDescent="0.4">
      <c r="C12" s="1" t="s">
        <v>2032</v>
      </c>
      <c r="D12" s="1" t="s">
        <v>2033</v>
      </c>
      <c r="E12" s="1" t="s">
        <v>2034</v>
      </c>
      <c r="F12" s="1" t="s">
        <v>12</v>
      </c>
      <c r="G12" s="1" t="s">
        <v>262</v>
      </c>
      <c r="H12" s="1" t="s">
        <v>2035</v>
      </c>
      <c r="I12" s="1" t="s">
        <v>2036</v>
      </c>
      <c r="J12" s="1" t="s">
        <v>2037</v>
      </c>
      <c r="K12" s="1" t="s">
        <v>2038</v>
      </c>
      <c r="L12" s="1" t="s">
        <v>2039</v>
      </c>
      <c r="M12" s="1" t="s">
        <v>2040</v>
      </c>
      <c r="N12" s="1" t="s">
        <v>2041</v>
      </c>
      <c r="O12" s="1" t="s">
        <v>15</v>
      </c>
      <c r="P12" s="1">
        <v>2025</v>
      </c>
      <c r="Q12" s="1">
        <v>18</v>
      </c>
      <c r="R12" s="1">
        <v>10</v>
      </c>
      <c r="S12" s="1">
        <v>2825</v>
      </c>
      <c r="T12" s="1">
        <v>2847</v>
      </c>
      <c r="U12" s="1" t="s">
        <v>2042</v>
      </c>
      <c r="V12" s="1" t="str">
        <f>HYPERLINK("http://dx.doi.org/10.1007/s12273-025-1341-8","http://dx.doi.org/10.1007/s12273-025-1341-8")</f>
        <v>http://dx.doi.org/10.1007/s12273-025-1341-8</v>
      </c>
    </row>
    <row r="13" spans="1:22" x14ac:dyDescent="0.4">
      <c r="C13" s="1" t="s">
        <v>1844</v>
      </c>
      <c r="D13" s="1" t="s">
        <v>1845</v>
      </c>
      <c r="E13" s="1" t="s">
        <v>1846</v>
      </c>
      <c r="F13" s="1" t="s">
        <v>12</v>
      </c>
      <c r="G13" s="1" t="s">
        <v>262</v>
      </c>
      <c r="H13" s="1" t="s">
        <v>1847</v>
      </c>
      <c r="I13" s="1" t="s">
        <v>1848</v>
      </c>
      <c r="J13" s="1" t="s">
        <v>1849</v>
      </c>
      <c r="K13" s="1" t="s">
        <v>1850</v>
      </c>
      <c r="L13" s="1" t="s">
        <v>1851</v>
      </c>
      <c r="M13" s="1" t="s">
        <v>1852</v>
      </c>
      <c r="N13" s="1" t="s">
        <v>1853</v>
      </c>
      <c r="O13" s="1" t="s">
        <v>27</v>
      </c>
      <c r="P13" s="1">
        <v>2025</v>
      </c>
      <c r="Q13" s="1">
        <v>18</v>
      </c>
      <c r="R13" s="1">
        <v>12</v>
      </c>
      <c r="S13" s="1">
        <v>3373</v>
      </c>
      <c r="T13" s="1">
        <v>3391</v>
      </c>
      <c r="U13" s="1" t="s">
        <v>1854</v>
      </c>
      <c r="V13" s="1" t="str">
        <f>HYPERLINK("http://dx.doi.org/10.1007/s12273-025-1391-y","http://dx.doi.org/10.1007/s12273-025-1391-y")</f>
        <v>http://dx.doi.org/10.1007/s12273-025-1391-y</v>
      </c>
    </row>
    <row r="14" spans="1:22" x14ac:dyDescent="0.4">
      <c r="C14" s="1" t="s">
        <v>2289</v>
      </c>
      <c r="D14" s="1" t="s">
        <v>2290</v>
      </c>
      <c r="E14" s="1" t="s">
        <v>2291</v>
      </c>
      <c r="F14" s="1" t="s">
        <v>12</v>
      </c>
      <c r="G14" s="1" t="s">
        <v>262</v>
      </c>
      <c r="H14" s="1" t="s">
        <v>2292</v>
      </c>
      <c r="I14" s="1" t="s">
        <v>2293</v>
      </c>
      <c r="J14" s="1" t="s">
        <v>2294</v>
      </c>
      <c r="K14" s="1" t="s">
        <v>2295</v>
      </c>
      <c r="L14" s="1" t="s">
        <v>2296</v>
      </c>
      <c r="M14" s="1" t="s">
        <v>2297</v>
      </c>
      <c r="N14" s="1" t="s">
        <v>2298</v>
      </c>
      <c r="O14" s="1" t="s">
        <v>16</v>
      </c>
      <c r="P14" s="1">
        <v>2025</v>
      </c>
      <c r="Q14" s="1">
        <v>18</v>
      </c>
      <c r="R14" s="1">
        <v>9</v>
      </c>
      <c r="S14" s="1">
        <v>2459</v>
      </c>
      <c r="T14" s="1">
        <v>2473</v>
      </c>
      <c r="U14" s="1" t="s">
        <v>2299</v>
      </c>
      <c r="V14" s="1" t="str">
        <f>HYPERLINK("http://dx.doi.org/10.1007/s12273-025-1321-z","http://dx.doi.org/10.1007/s12273-025-1321-z")</f>
        <v>http://dx.doi.org/10.1007/s12273-025-1321-z</v>
      </c>
    </row>
    <row r="15" spans="1:22" x14ac:dyDescent="0.4">
      <c r="C15" s="1" t="s">
        <v>2313</v>
      </c>
      <c r="D15" s="1" t="s">
        <v>2314</v>
      </c>
      <c r="E15" s="1" t="s">
        <v>2315</v>
      </c>
      <c r="F15" s="1" t="s">
        <v>12</v>
      </c>
      <c r="G15" s="1" t="s">
        <v>262</v>
      </c>
      <c r="H15" s="1" t="s">
        <v>2316</v>
      </c>
      <c r="I15" s="1" t="s">
        <v>2317</v>
      </c>
      <c r="J15" s="1" t="s">
        <v>2318</v>
      </c>
      <c r="K15" s="1" t="s">
        <v>2319</v>
      </c>
      <c r="L15" s="1" t="s">
        <v>2320</v>
      </c>
      <c r="M15" s="1" t="s">
        <v>2321</v>
      </c>
      <c r="N15" s="1" t="s">
        <v>2322</v>
      </c>
      <c r="O15" s="1" t="s">
        <v>16</v>
      </c>
      <c r="P15" s="1">
        <v>2025</v>
      </c>
      <c r="Q15" s="1">
        <v>18</v>
      </c>
      <c r="R15" s="1">
        <v>9</v>
      </c>
      <c r="S15" s="1">
        <v>2491</v>
      </c>
      <c r="T15" s="1">
        <v>2514</v>
      </c>
      <c r="U15" s="1" t="s">
        <v>2323</v>
      </c>
      <c r="V15" s="1" t="str">
        <f>HYPERLINK("http://dx.doi.org/10.1007/s12273-025-1323-x","http://dx.doi.org/10.1007/s12273-025-1323-x")</f>
        <v>http://dx.doi.org/10.1007/s12273-025-1323-x</v>
      </c>
    </row>
    <row r="16" spans="1:22" x14ac:dyDescent="0.4">
      <c r="C16" s="1" t="s">
        <v>2781</v>
      </c>
      <c r="D16" s="1" t="s">
        <v>2782</v>
      </c>
      <c r="E16" s="1" t="s">
        <v>2783</v>
      </c>
      <c r="F16" s="1" t="s">
        <v>12</v>
      </c>
      <c r="G16" s="1" t="s">
        <v>262</v>
      </c>
      <c r="H16" s="1" t="s">
        <v>2784</v>
      </c>
      <c r="I16" s="1" t="s">
        <v>2785</v>
      </c>
      <c r="J16" s="1" t="s">
        <v>2786</v>
      </c>
      <c r="K16" s="1" t="s">
        <v>2787</v>
      </c>
      <c r="L16" s="1" t="s">
        <v>2788</v>
      </c>
      <c r="M16" s="1" t="s">
        <v>2789</v>
      </c>
      <c r="N16" s="1" t="s">
        <v>2790</v>
      </c>
      <c r="O16" s="1" t="s">
        <v>22</v>
      </c>
      <c r="P16" s="1">
        <v>2025</v>
      </c>
      <c r="Q16" s="1">
        <v>18</v>
      </c>
      <c r="R16" s="1">
        <v>6</v>
      </c>
      <c r="S16" s="1">
        <v>1409</v>
      </c>
      <c r="T16" s="1">
        <v>1433</v>
      </c>
      <c r="U16" s="1" t="s">
        <v>2791</v>
      </c>
      <c r="V16" s="1" t="str">
        <f>HYPERLINK("http://dx.doi.org/10.1007/s12273-025-1262-6","http://dx.doi.org/10.1007/s12273-025-1262-6")</f>
        <v>http://dx.doi.org/10.1007/s12273-025-1262-6</v>
      </c>
    </row>
    <row r="17" spans="1:22" x14ac:dyDescent="0.4">
      <c r="C17" s="1" t="s">
        <v>2851</v>
      </c>
      <c r="D17" s="1" t="s">
        <v>2852</v>
      </c>
      <c r="E17" s="1" t="s">
        <v>2853</v>
      </c>
      <c r="F17" s="1" t="s">
        <v>12</v>
      </c>
      <c r="G17" s="1" t="s">
        <v>262</v>
      </c>
      <c r="H17" s="1" t="s">
        <v>2854</v>
      </c>
      <c r="I17" s="1" t="s">
        <v>2855</v>
      </c>
      <c r="J17" s="1" t="s">
        <v>2856</v>
      </c>
      <c r="K17" s="1" t="s">
        <v>2857</v>
      </c>
      <c r="L17" s="1" t="s">
        <v>283</v>
      </c>
      <c r="M17" s="1" t="s">
        <v>2858</v>
      </c>
      <c r="N17" s="1" t="s">
        <v>2859</v>
      </c>
      <c r="O17" s="1" t="s">
        <v>20</v>
      </c>
      <c r="P17" s="1">
        <v>2025</v>
      </c>
      <c r="Q17" s="1">
        <v>18</v>
      </c>
      <c r="R17" s="1">
        <v>7</v>
      </c>
      <c r="S17" s="1">
        <v>1819</v>
      </c>
      <c r="T17" s="1">
        <v>1836</v>
      </c>
      <c r="U17" s="1" t="s">
        <v>2860</v>
      </c>
      <c r="V17" s="1" t="str">
        <f>HYPERLINK("http://dx.doi.org/10.1007/s12273-025-1286-y","http://dx.doi.org/10.1007/s12273-025-1286-y")</f>
        <v>http://dx.doi.org/10.1007/s12273-025-1286-y</v>
      </c>
    </row>
    <row r="18" spans="1:22" x14ac:dyDescent="0.4">
      <c r="C18" s="1" t="s">
        <v>2928</v>
      </c>
      <c r="D18" s="1" t="s">
        <v>2929</v>
      </c>
      <c r="E18" s="1" t="s">
        <v>2930</v>
      </c>
      <c r="F18" s="1" t="s">
        <v>12</v>
      </c>
      <c r="G18" s="1" t="s">
        <v>262</v>
      </c>
      <c r="H18" s="1" t="s">
        <v>2931</v>
      </c>
      <c r="I18" s="1" t="s">
        <v>2932</v>
      </c>
      <c r="J18" s="1" t="s">
        <v>2933</v>
      </c>
      <c r="K18" s="1" t="s">
        <v>2934</v>
      </c>
      <c r="L18" s="1" t="s">
        <v>2935</v>
      </c>
      <c r="M18" s="1" t="s">
        <v>2936</v>
      </c>
      <c r="N18" s="1" t="s">
        <v>2937</v>
      </c>
      <c r="O18" s="1" t="s">
        <v>22</v>
      </c>
      <c r="P18" s="1">
        <v>2025</v>
      </c>
      <c r="Q18" s="1">
        <v>18</v>
      </c>
      <c r="R18" s="1">
        <v>6</v>
      </c>
      <c r="S18" s="1">
        <v>1483</v>
      </c>
      <c r="T18" s="1">
        <v>1496</v>
      </c>
      <c r="U18" s="1" t="s">
        <v>2938</v>
      </c>
      <c r="V18" s="1" t="str">
        <f>HYPERLINK("http://dx.doi.org/10.1007/s12273-025-1274-2","http://dx.doi.org/10.1007/s12273-025-1274-2")</f>
        <v>http://dx.doi.org/10.1007/s12273-025-1274-2</v>
      </c>
    </row>
    <row r="19" spans="1:22" x14ac:dyDescent="0.4">
      <c r="C19" s="1" t="s">
        <v>3156</v>
      </c>
      <c r="D19" s="1" t="s">
        <v>3157</v>
      </c>
      <c r="E19" s="1" t="s">
        <v>3158</v>
      </c>
      <c r="F19" s="1" t="s">
        <v>12</v>
      </c>
      <c r="G19" s="1" t="s">
        <v>262</v>
      </c>
      <c r="H19" s="1" t="s">
        <v>3159</v>
      </c>
      <c r="I19" s="1" t="s">
        <v>3160</v>
      </c>
      <c r="J19" s="1" t="s">
        <v>3161</v>
      </c>
      <c r="K19" s="1" t="s">
        <v>3162</v>
      </c>
      <c r="L19" s="1" t="s">
        <v>3163</v>
      </c>
      <c r="M19" s="1" t="s">
        <v>2332</v>
      </c>
      <c r="N19" s="1" t="s">
        <v>2333</v>
      </c>
      <c r="O19" s="1" t="s">
        <v>23</v>
      </c>
      <c r="P19" s="1">
        <v>2025</v>
      </c>
      <c r="Q19" s="1">
        <v>18</v>
      </c>
      <c r="R19" s="1">
        <v>4</v>
      </c>
      <c r="S19" s="1">
        <v>699</v>
      </c>
      <c r="T19" s="1">
        <v>720</v>
      </c>
      <c r="U19" s="1" t="s">
        <v>3164</v>
      </c>
      <c r="V19" s="1" t="str">
        <f>HYPERLINK("http://dx.doi.org/10.1007/s12273-025-1246-6","http://dx.doi.org/10.1007/s12273-025-1246-6")</f>
        <v>http://dx.doi.org/10.1007/s12273-025-1246-6</v>
      </c>
    </row>
    <row r="20" spans="1:22" x14ac:dyDescent="0.4">
      <c r="C20" s="1" t="s">
        <v>3314</v>
      </c>
      <c r="D20" s="1" t="s">
        <v>3315</v>
      </c>
      <c r="E20" s="1" t="s">
        <v>3316</v>
      </c>
      <c r="F20" s="1" t="s">
        <v>12</v>
      </c>
      <c r="G20" s="1" t="s">
        <v>262</v>
      </c>
      <c r="H20" s="1" t="s">
        <v>3317</v>
      </c>
      <c r="I20" s="1" t="s">
        <v>3318</v>
      </c>
      <c r="J20" s="1" t="s">
        <v>3319</v>
      </c>
      <c r="K20" s="1" t="s">
        <v>3320</v>
      </c>
      <c r="L20" s="1" t="s">
        <v>3321</v>
      </c>
      <c r="M20" s="1" t="s">
        <v>3322</v>
      </c>
      <c r="N20" s="1" t="s">
        <v>3323</v>
      </c>
      <c r="O20" s="1" t="s">
        <v>25</v>
      </c>
      <c r="P20" s="1">
        <v>2025</v>
      </c>
      <c r="Q20" s="1">
        <v>18</v>
      </c>
      <c r="R20" s="1">
        <v>3</v>
      </c>
      <c r="S20" s="1">
        <v>641</v>
      </c>
      <c r="T20" s="1">
        <v>661</v>
      </c>
      <c r="U20" s="1" t="s">
        <v>3324</v>
      </c>
      <c r="V20" s="1" t="str">
        <f>HYPERLINK("http://dx.doi.org/10.1007/s12273-025-1224-z","http://dx.doi.org/10.1007/s12273-025-1224-z")</f>
        <v>http://dx.doi.org/10.1007/s12273-025-1224-z</v>
      </c>
    </row>
    <row r="22" spans="1:22" ht="13.7" x14ac:dyDescent="0.4">
      <c r="A22" s="2" t="s">
        <v>128</v>
      </c>
      <c r="B22" s="2" t="s">
        <v>129</v>
      </c>
      <c r="E22" s="2"/>
      <c r="F22" s="2"/>
    </row>
    <row r="23" spans="1:22" x14ac:dyDescent="0.4">
      <c r="C23" s="1" t="s">
        <v>2228</v>
      </c>
      <c r="D23" s="1" t="s">
        <v>2229</v>
      </c>
      <c r="E23" s="1" t="s">
        <v>2230</v>
      </c>
      <c r="F23" s="1" t="s">
        <v>12</v>
      </c>
      <c r="G23" s="1" t="s">
        <v>262</v>
      </c>
      <c r="H23" s="1" t="s">
        <v>2231</v>
      </c>
      <c r="I23" s="1" t="s">
        <v>2232</v>
      </c>
      <c r="J23" s="1" t="s">
        <v>2233</v>
      </c>
      <c r="K23" s="1" t="s">
        <v>2234</v>
      </c>
      <c r="L23" s="1" t="s">
        <v>2235</v>
      </c>
      <c r="M23" s="1" t="s">
        <v>2236</v>
      </c>
      <c r="N23" s="1" t="s">
        <v>2237</v>
      </c>
      <c r="O23" s="1" t="s">
        <v>14</v>
      </c>
      <c r="P23" s="1">
        <v>2025</v>
      </c>
      <c r="Q23" s="1">
        <v>18</v>
      </c>
      <c r="R23" s="1">
        <v>11</v>
      </c>
      <c r="S23" s="1">
        <v>2849</v>
      </c>
      <c r="T23" s="1">
        <v>2874</v>
      </c>
      <c r="U23" s="1" t="s">
        <v>2238</v>
      </c>
      <c r="V23" s="1" t="str">
        <f>HYPERLINK("http://dx.doi.org/10.1007/s12273-025-1335-6","http://dx.doi.org/10.1007/s12273-025-1335-6")</f>
        <v>http://dx.doi.org/10.1007/s12273-025-1335-6</v>
      </c>
    </row>
    <row r="24" spans="1:22" x14ac:dyDescent="0.4">
      <c r="C24" s="1" t="s">
        <v>818</v>
      </c>
      <c r="D24" s="1" t="s">
        <v>819</v>
      </c>
      <c r="E24" s="1" t="s">
        <v>820</v>
      </c>
      <c r="F24" s="1" t="s">
        <v>12</v>
      </c>
      <c r="G24" s="1" t="s">
        <v>262</v>
      </c>
      <c r="H24" s="1" t="s">
        <v>821</v>
      </c>
      <c r="I24" s="1" t="s">
        <v>822</v>
      </c>
      <c r="J24" s="1" t="s">
        <v>823</v>
      </c>
      <c r="K24" s="1" t="s">
        <v>824</v>
      </c>
      <c r="L24" s="1" t="s">
        <v>825</v>
      </c>
      <c r="M24" s="1" t="s">
        <v>826</v>
      </c>
      <c r="N24" s="1" t="s">
        <v>827</v>
      </c>
      <c r="O24" s="1" t="s">
        <v>19</v>
      </c>
      <c r="P24" s="1">
        <v>2024</v>
      </c>
      <c r="Q24" s="1">
        <v>17</v>
      </c>
      <c r="R24" s="1">
        <v>8</v>
      </c>
      <c r="S24" s="1">
        <v>1253</v>
      </c>
      <c r="T24" s="1">
        <v>1271</v>
      </c>
      <c r="U24" s="1" t="s">
        <v>828</v>
      </c>
      <c r="V24" s="1" t="str">
        <f>HYPERLINK("http://dx.doi.org/10.1007/s12273-024-1139-0","http://dx.doi.org/10.1007/s12273-024-1139-0")</f>
        <v>http://dx.doi.org/10.1007/s12273-024-1139-0</v>
      </c>
    </row>
    <row r="25" spans="1:22" x14ac:dyDescent="0.4">
      <c r="C25" s="1" t="s">
        <v>2896</v>
      </c>
      <c r="D25" s="1" t="s">
        <v>2897</v>
      </c>
      <c r="E25" s="1" t="s">
        <v>2898</v>
      </c>
      <c r="F25" s="1" t="s">
        <v>12</v>
      </c>
      <c r="G25" s="1" t="s">
        <v>262</v>
      </c>
      <c r="H25" s="1" t="s">
        <v>2899</v>
      </c>
      <c r="I25" s="1" t="s">
        <v>2900</v>
      </c>
      <c r="J25" s="1" t="s">
        <v>2901</v>
      </c>
      <c r="K25" s="1" t="s">
        <v>2902</v>
      </c>
      <c r="L25" s="1" t="s">
        <v>2903</v>
      </c>
      <c r="M25" s="1" t="s">
        <v>2904</v>
      </c>
      <c r="N25" s="1" t="s">
        <v>321</v>
      </c>
      <c r="O25" s="1" t="s">
        <v>22</v>
      </c>
      <c r="P25" s="1">
        <v>2025</v>
      </c>
      <c r="Q25" s="1">
        <v>18</v>
      </c>
      <c r="R25" s="1">
        <v>6</v>
      </c>
      <c r="S25" s="1">
        <v>1355</v>
      </c>
      <c r="T25" s="1">
        <v>1376</v>
      </c>
      <c r="U25" s="1" t="s">
        <v>2905</v>
      </c>
      <c r="V25" s="1" t="str">
        <f>HYPERLINK("http://dx.doi.org/10.1007/s12273-025-1270-6","http://dx.doi.org/10.1007/s12273-025-1270-6")</f>
        <v>http://dx.doi.org/10.1007/s12273-025-1270-6</v>
      </c>
    </row>
    <row r="26" spans="1:22" x14ac:dyDescent="0.4">
      <c r="C26" s="1" t="s">
        <v>1027</v>
      </c>
      <c r="D26" s="1" t="s">
        <v>1028</v>
      </c>
      <c r="E26" s="1" t="s">
        <v>1029</v>
      </c>
      <c r="F26" s="1" t="s">
        <v>12</v>
      </c>
      <c r="G26" s="1" t="s">
        <v>262</v>
      </c>
      <c r="H26" s="1" t="s">
        <v>1030</v>
      </c>
      <c r="I26" s="1" t="s">
        <v>1031</v>
      </c>
      <c r="J26" s="1" t="s">
        <v>1032</v>
      </c>
      <c r="K26" s="1" t="s">
        <v>1033</v>
      </c>
      <c r="L26" s="1" t="s">
        <v>1034</v>
      </c>
      <c r="M26" s="1" t="s">
        <v>1035</v>
      </c>
      <c r="N26" s="1" t="s">
        <v>1036</v>
      </c>
      <c r="O26" s="1" t="s">
        <v>16</v>
      </c>
      <c r="P26" s="1">
        <v>2024</v>
      </c>
      <c r="Q26" s="1">
        <v>17</v>
      </c>
      <c r="R26" s="1">
        <v>9</v>
      </c>
      <c r="S26" s="1">
        <v>1601</v>
      </c>
      <c r="T26" s="1">
        <v>1613</v>
      </c>
      <c r="U26" s="1" t="s">
        <v>1037</v>
      </c>
      <c r="V26" s="1" t="str">
        <f>HYPERLINK("http://dx.doi.org/10.1007/s12273-024-1157-y","http://dx.doi.org/10.1007/s12273-024-1157-y")</f>
        <v>http://dx.doi.org/10.1007/s12273-024-1157-y</v>
      </c>
    </row>
    <row r="27" spans="1:22" ht="13.7" x14ac:dyDescent="0.4">
      <c r="A27" s="2" t="s">
        <v>188</v>
      </c>
      <c r="B27" s="2" t="s">
        <v>187</v>
      </c>
      <c r="E27" s="11"/>
    </row>
    <row r="28" spans="1:22" x14ac:dyDescent="0.4">
      <c r="C28" s="1" t="s">
        <v>3549</v>
      </c>
      <c r="D28" s="1" t="s">
        <v>3550</v>
      </c>
      <c r="E28" s="1" t="s">
        <v>3551</v>
      </c>
      <c r="F28" s="1" t="s">
        <v>12</v>
      </c>
      <c r="G28" s="1" t="s">
        <v>273</v>
      </c>
      <c r="H28" s="1" t="s">
        <v>3552</v>
      </c>
      <c r="I28" s="1" t="s">
        <v>3553</v>
      </c>
      <c r="J28" s="1" t="s">
        <v>3554</v>
      </c>
      <c r="K28" s="1" t="s">
        <v>3555</v>
      </c>
      <c r="L28" s="1" t="s">
        <v>3556</v>
      </c>
      <c r="M28" s="1" t="s">
        <v>1548</v>
      </c>
      <c r="N28" s="1" t="s">
        <v>1549</v>
      </c>
      <c r="O28" s="1" t="s">
        <v>21</v>
      </c>
      <c r="P28" s="1">
        <v>2025</v>
      </c>
      <c r="Q28" s="1">
        <v>18</v>
      </c>
      <c r="R28" s="1">
        <v>5</v>
      </c>
      <c r="S28" s="1">
        <v>979</v>
      </c>
      <c r="T28" s="1">
        <v>998</v>
      </c>
      <c r="U28" s="1" t="s">
        <v>3557</v>
      </c>
      <c r="V28" s="1" t="str">
        <f>HYPERLINK("http://dx.doi.org/10.1007/s12273-025-1249-3","http://dx.doi.org/10.1007/s12273-025-1249-3")</f>
        <v>http://dx.doi.org/10.1007/s12273-025-1249-3</v>
      </c>
    </row>
  </sheetData>
  <phoneticPr fontId="2" type="noConversion"/>
  <conditionalFormatting sqref="U1">
    <cfRule type="duplicateValues" dxfId="141" priority="15" stopIfTrue="1"/>
  </conditionalFormatting>
  <conditionalFormatting sqref="U3">
    <cfRule type="duplicateValues" dxfId="140" priority="24" stopIfTrue="1"/>
  </conditionalFormatting>
  <conditionalFormatting sqref="U4">
    <cfRule type="duplicateValues" dxfId="139" priority="22" stopIfTrue="1"/>
  </conditionalFormatting>
  <conditionalFormatting sqref="U5">
    <cfRule type="duplicateValues" dxfId="138" priority="21" stopIfTrue="1"/>
  </conditionalFormatting>
  <conditionalFormatting sqref="U6">
    <cfRule type="duplicateValues" dxfId="137" priority="20" stopIfTrue="1"/>
  </conditionalFormatting>
  <conditionalFormatting sqref="U7">
    <cfRule type="duplicateValues" dxfId="136" priority="18" stopIfTrue="1"/>
  </conditionalFormatting>
  <conditionalFormatting sqref="U8">
    <cfRule type="duplicateValues" dxfId="135" priority="17" stopIfTrue="1"/>
  </conditionalFormatting>
  <conditionalFormatting sqref="U9">
    <cfRule type="duplicateValues" dxfId="134" priority="16" stopIfTrue="1"/>
  </conditionalFormatting>
  <conditionalFormatting sqref="U10">
    <cfRule type="duplicateValues" dxfId="133" priority="14" stopIfTrue="1"/>
  </conditionalFormatting>
  <conditionalFormatting sqref="U11">
    <cfRule type="duplicateValues" dxfId="132" priority="13" stopIfTrue="1"/>
  </conditionalFormatting>
  <conditionalFormatting sqref="U12">
    <cfRule type="duplicateValues" dxfId="131" priority="11" stopIfTrue="1"/>
  </conditionalFormatting>
  <conditionalFormatting sqref="U13">
    <cfRule type="duplicateValues" dxfId="130" priority="12" stopIfTrue="1"/>
  </conditionalFormatting>
  <conditionalFormatting sqref="U14">
    <cfRule type="duplicateValues" dxfId="129" priority="8" stopIfTrue="1"/>
  </conditionalFormatting>
  <conditionalFormatting sqref="U15">
    <cfRule type="duplicateValues" dxfId="128" priority="7" stopIfTrue="1"/>
  </conditionalFormatting>
  <conditionalFormatting sqref="U16">
    <cfRule type="duplicateValues" dxfId="127" priority="6" stopIfTrue="1"/>
  </conditionalFormatting>
  <conditionalFormatting sqref="U17">
    <cfRule type="duplicateValues" dxfId="126" priority="5" stopIfTrue="1"/>
  </conditionalFormatting>
  <conditionalFormatting sqref="U18">
    <cfRule type="duplicateValues" dxfId="125" priority="3" stopIfTrue="1"/>
  </conditionalFormatting>
  <conditionalFormatting sqref="U19">
    <cfRule type="duplicateValues" dxfId="124" priority="2" stopIfTrue="1"/>
  </conditionalFormatting>
  <conditionalFormatting sqref="U20:U21">
    <cfRule type="duplicateValues" dxfId="123" priority="1" stopIfTrue="1"/>
  </conditionalFormatting>
  <conditionalFormatting sqref="U23">
    <cfRule type="duplicateValues" dxfId="122" priority="10" stopIfTrue="1"/>
  </conditionalFormatting>
  <conditionalFormatting sqref="U24">
    <cfRule type="duplicateValues" dxfId="121" priority="23" stopIfTrue="1"/>
  </conditionalFormatting>
  <conditionalFormatting sqref="U25">
    <cfRule type="duplicateValues" dxfId="120" priority="4" stopIfTrue="1"/>
  </conditionalFormatting>
  <conditionalFormatting sqref="U26">
    <cfRule type="duplicateValues" dxfId="119" priority="19" stopIfTrue="1"/>
  </conditionalFormatting>
  <conditionalFormatting sqref="U31">
    <cfRule type="duplicateValues" dxfId="118" priority="9"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2"/>
  <sheetViews>
    <sheetView workbookViewId="0"/>
  </sheetViews>
  <sheetFormatPr defaultColWidth="9.1171875" defaultRowHeight="12.7" x14ac:dyDescent="0.4"/>
  <cols>
    <col min="1" max="1" width="15.29296875" style="1" customWidth="1"/>
    <col min="2" max="2" width="17.41015625" style="1" customWidth="1"/>
    <col min="3" max="3" width="17.87890625" style="1" bestFit="1" customWidth="1"/>
    <col min="4" max="4" width="18.703125" style="1" bestFit="1" customWidth="1"/>
    <col min="5" max="5" width="17.87890625" style="1" bestFit="1" customWidth="1"/>
    <col min="6" max="6" width="18.703125" style="1" bestFit="1" customWidth="1"/>
    <col min="7" max="16384" width="9.1171875" style="1"/>
  </cols>
  <sheetData>
    <row r="1" spans="1:22" s="9" customFormat="1" ht="38" x14ac:dyDescent="0.4">
      <c r="C1" s="16" t="s">
        <v>162</v>
      </c>
      <c r="D1" s="16" t="s">
        <v>0</v>
      </c>
      <c r="E1" s="16" t="s">
        <v>161</v>
      </c>
      <c r="F1" s="16" t="s">
        <v>1</v>
      </c>
      <c r="G1" s="16" t="s">
        <v>255</v>
      </c>
      <c r="H1" s="16" t="s">
        <v>163</v>
      </c>
      <c r="I1" s="16" t="s">
        <v>254</v>
      </c>
      <c r="J1" s="16" t="s">
        <v>164</v>
      </c>
      <c r="K1" s="16" t="s">
        <v>256</v>
      </c>
      <c r="L1" s="16" t="s">
        <v>257</v>
      </c>
      <c r="M1" s="16" t="s">
        <v>258</v>
      </c>
      <c r="N1" s="16" t="s">
        <v>259</v>
      </c>
      <c r="O1" s="16" t="s">
        <v>2</v>
      </c>
      <c r="P1" s="16" t="s">
        <v>3</v>
      </c>
      <c r="Q1" s="16" t="s">
        <v>4</v>
      </c>
      <c r="R1" s="16" t="s">
        <v>5</v>
      </c>
      <c r="S1" s="16" t="s">
        <v>6</v>
      </c>
      <c r="T1" s="16" t="s">
        <v>7</v>
      </c>
      <c r="U1" s="16" t="s">
        <v>8</v>
      </c>
      <c r="V1" s="16" t="s">
        <v>9</v>
      </c>
    </row>
    <row r="2" spans="1:22" ht="13.7" x14ac:dyDescent="0.5">
      <c r="A2" s="4" t="s">
        <v>131</v>
      </c>
      <c r="B2" s="10" t="s">
        <v>132</v>
      </c>
      <c r="E2" s="4"/>
      <c r="F2" s="10"/>
    </row>
    <row r="3" spans="1:22" x14ac:dyDescent="0.4">
      <c r="C3" s="1" t="s">
        <v>1856</v>
      </c>
      <c r="D3" s="1" t="s">
        <v>1857</v>
      </c>
      <c r="E3" s="1" t="s">
        <v>1858</v>
      </c>
      <c r="F3" s="1" t="s">
        <v>12</v>
      </c>
      <c r="G3" s="1" t="s">
        <v>262</v>
      </c>
      <c r="H3" s="1" t="s">
        <v>1859</v>
      </c>
      <c r="I3" s="1" t="s">
        <v>1860</v>
      </c>
      <c r="J3" s="1" t="s">
        <v>1861</v>
      </c>
      <c r="K3" s="1" t="s">
        <v>1862</v>
      </c>
      <c r="L3" s="1" t="s">
        <v>1863</v>
      </c>
      <c r="M3" s="1" t="s">
        <v>1864</v>
      </c>
      <c r="N3" s="1" t="s">
        <v>1865</v>
      </c>
      <c r="O3" s="1" t="s">
        <v>27</v>
      </c>
      <c r="P3" s="1">
        <v>2025</v>
      </c>
      <c r="Q3" s="1">
        <v>18</v>
      </c>
      <c r="R3" s="1">
        <v>12</v>
      </c>
      <c r="S3" s="1">
        <v>3275</v>
      </c>
      <c r="T3" s="1">
        <v>3294</v>
      </c>
      <c r="U3" s="1" t="s">
        <v>1866</v>
      </c>
      <c r="V3" s="1" t="str">
        <f>HYPERLINK("http://dx.doi.org/10.1007/s12273-025-1356-1","http://dx.doi.org/10.1007/s12273-025-1356-1")</f>
        <v>http://dx.doi.org/10.1007/s12273-025-1356-1</v>
      </c>
    </row>
    <row r="4" spans="1:22" ht="13.7" x14ac:dyDescent="0.5">
      <c r="A4" s="4"/>
      <c r="B4" s="4"/>
    </row>
    <row r="5" spans="1:22" ht="13.7" x14ac:dyDescent="0.5">
      <c r="A5" s="4" t="s">
        <v>133</v>
      </c>
      <c r="B5" s="10" t="s">
        <v>134</v>
      </c>
      <c r="E5" s="4"/>
      <c r="F5" s="10"/>
    </row>
    <row r="6" spans="1:22" x14ac:dyDescent="0.4">
      <c r="C6" s="1" t="s">
        <v>1820</v>
      </c>
      <c r="D6" s="1" t="s">
        <v>1821</v>
      </c>
      <c r="E6" s="1" t="s">
        <v>1822</v>
      </c>
      <c r="F6" s="1" t="s">
        <v>12</v>
      </c>
      <c r="G6" s="1" t="s">
        <v>262</v>
      </c>
      <c r="H6" s="1" t="s">
        <v>1823</v>
      </c>
      <c r="I6" s="1" t="s">
        <v>1824</v>
      </c>
      <c r="J6" s="1" t="s">
        <v>1825</v>
      </c>
      <c r="K6" s="1" t="s">
        <v>1826</v>
      </c>
      <c r="L6" s="1" t="s">
        <v>1827</v>
      </c>
      <c r="M6" s="1" t="s">
        <v>1828</v>
      </c>
      <c r="N6" s="1" t="s">
        <v>1829</v>
      </c>
      <c r="O6" s="1" t="s">
        <v>27</v>
      </c>
      <c r="P6" s="1">
        <v>2025</v>
      </c>
      <c r="Q6" s="1">
        <v>18</v>
      </c>
      <c r="R6" s="1">
        <v>12</v>
      </c>
      <c r="S6" s="1">
        <v>3393</v>
      </c>
      <c r="T6" s="1">
        <v>3410</v>
      </c>
      <c r="U6" s="1" t="s">
        <v>1830</v>
      </c>
      <c r="V6" s="1" t="str">
        <f>HYPERLINK("http://dx.doi.org/10.1007/s12273-025-1360-5","http://dx.doi.org/10.1007/s12273-025-1360-5")</f>
        <v>http://dx.doi.org/10.1007/s12273-025-1360-5</v>
      </c>
    </row>
    <row r="7" spans="1:22" x14ac:dyDescent="0.4">
      <c r="C7" s="1" t="s">
        <v>670</v>
      </c>
      <c r="D7" s="1" t="s">
        <v>671</v>
      </c>
      <c r="E7" s="1" t="s">
        <v>672</v>
      </c>
      <c r="F7" s="1" t="s">
        <v>12</v>
      </c>
      <c r="G7" s="1" t="s">
        <v>262</v>
      </c>
      <c r="H7" s="1" t="s">
        <v>673</v>
      </c>
      <c r="I7" s="1" t="s">
        <v>674</v>
      </c>
      <c r="J7" s="1" t="s">
        <v>675</v>
      </c>
      <c r="K7" s="1" t="s">
        <v>676</v>
      </c>
      <c r="L7" s="1" t="s">
        <v>677</v>
      </c>
      <c r="M7" s="1" t="s">
        <v>678</v>
      </c>
      <c r="N7" s="1" t="s">
        <v>679</v>
      </c>
      <c r="O7" s="1" t="s">
        <v>22</v>
      </c>
      <c r="P7" s="1">
        <v>2024</v>
      </c>
      <c r="Q7" s="1">
        <v>17</v>
      </c>
      <c r="R7" s="1">
        <v>6</v>
      </c>
      <c r="S7" s="1">
        <v>1007</v>
      </c>
      <c r="T7" s="1">
        <v>1021</v>
      </c>
      <c r="U7" s="1" t="s">
        <v>680</v>
      </c>
      <c r="V7" s="1" t="str">
        <f>HYPERLINK("http://dx.doi.org/10.1007/s12273-024-1118-5","http://dx.doi.org/10.1007/s12273-024-1118-5")</f>
        <v>http://dx.doi.org/10.1007/s12273-024-1118-5</v>
      </c>
    </row>
    <row r="8" spans="1:22" x14ac:dyDescent="0.4">
      <c r="C8" s="1" t="s">
        <v>1832</v>
      </c>
      <c r="D8" s="1" t="s">
        <v>1833</v>
      </c>
      <c r="E8" s="1" t="s">
        <v>1834</v>
      </c>
      <c r="F8" s="1" t="s">
        <v>12</v>
      </c>
      <c r="G8" s="1" t="s">
        <v>262</v>
      </c>
      <c r="H8" s="1" t="s">
        <v>1835</v>
      </c>
      <c r="I8" s="1" t="s">
        <v>1836</v>
      </c>
      <c r="J8" s="1" t="s">
        <v>1837</v>
      </c>
      <c r="K8" s="1" t="s">
        <v>1838</v>
      </c>
      <c r="L8" s="1" t="s">
        <v>1839</v>
      </c>
      <c r="M8" s="1" t="s">
        <v>1840</v>
      </c>
      <c r="N8" s="1" t="s">
        <v>1841</v>
      </c>
      <c r="O8" s="1" t="s">
        <v>27</v>
      </c>
      <c r="P8" s="1">
        <v>2025</v>
      </c>
      <c r="Q8" s="1">
        <v>18</v>
      </c>
      <c r="R8" s="1">
        <v>12</v>
      </c>
      <c r="S8" s="1">
        <v>3295</v>
      </c>
      <c r="T8" s="1">
        <v>3316</v>
      </c>
      <c r="U8" s="1" t="s">
        <v>1842</v>
      </c>
      <c r="V8" s="1" t="str">
        <f>HYPERLINK("http://dx.doi.org/10.1007/s12273-025-1357-0","http://dx.doi.org/10.1007/s12273-025-1357-0")</f>
        <v>http://dx.doi.org/10.1007/s12273-025-1357-0</v>
      </c>
    </row>
    <row r="9" spans="1:22" ht="13.7" x14ac:dyDescent="0.4">
      <c r="A9" s="2"/>
      <c r="B9" s="2"/>
      <c r="C9" s="1" t="s">
        <v>2216</v>
      </c>
      <c r="D9" s="1" t="s">
        <v>2217</v>
      </c>
      <c r="E9" s="1" t="s">
        <v>2218</v>
      </c>
      <c r="F9" s="1" t="s">
        <v>12</v>
      </c>
      <c r="G9" s="1" t="s">
        <v>262</v>
      </c>
      <c r="H9" s="1" t="s">
        <v>2219</v>
      </c>
      <c r="I9" s="1" t="s">
        <v>2220</v>
      </c>
      <c r="J9" s="1" t="s">
        <v>2221</v>
      </c>
      <c r="K9" s="1" t="s">
        <v>2222</v>
      </c>
      <c r="L9" s="1" t="s">
        <v>2223</v>
      </c>
      <c r="M9" s="1" t="s">
        <v>2224</v>
      </c>
      <c r="N9" s="1" t="s">
        <v>2225</v>
      </c>
      <c r="O9" s="1" t="s">
        <v>15</v>
      </c>
      <c r="P9" s="1">
        <v>2025</v>
      </c>
      <c r="Q9" s="1">
        <v>18</v>
      </c>
      <c r="R9" s="1">
        <v>10</v>
      </c>
      <c r="S9" s="1">
        <v>2531</v>
      </c>
      <c r="T9" s="1">
        <v>2558</v>
      </c>
      <c r="U9" s="1" t="s">
        <v>2226</v>
      </c>
      <c r="V9" s="1" t="str">
        <f>HYPERLINK("http://dx.doi.org/10.1007/s12273-025-1332-9","http://dx.doi.org/10.1007/s12273-025-1332-9")</f>
        <v>http://dx.doi.org/10.1007/s12273-025-1332-9</v>
      </c>
    </row>
    <row r="10" spans="1:22" x14ac:dyDescent="0.4">
      <c r="C10" s="1" t="s">
        <v>2430</v>
      </c>
      <c r="D10" s="1" t="s">
        <v>2431</v>
      </c>
      <c r="E10" s="1" t="s">
        <v>2432</v>
      </c>
      <c r="F10" s="1" t="s">
        <v>12</v>
      </c>
      <c r="G10" s="1" t="s">
        <v>262</v>
      </c>
      <c r="H10" s="1" t="s">
        <v>2433</v>
      </c>
      <c r="I10" s="1" t="s">
        <v>2434</v>
      </c>
      <c r="J10" s="1" t="s">
        <v>2435</v>
      </c>
      <c r="K10" s="1" t="s">
        <v>2436</v>
      </c>
      <c r="L10" s="1" t="s">
        <v>2437</v>
      </c>
      <c r="M10" s="1" t="s">
        <v>2438</v>
      </c>
      <c r="N10" s="1" t="s">
        <v>2439</v>
      </c>
      <c r="O10" s="1" t="s">
        <v>20</v>
      </c>
      <c r="P10" s="1">
        <v>2025</v>
      </c>
      <c r="Q10" s="1">
        <v>18</v>
      </c>
      <c r="R10" s="1">
        <v>7</v>
      </c>
      <c r="S10" s="1">
        <v>1727</v>
      </c>
      <c r="T10" s="1">
        <v>1742</v>
      </c>
      <c r="U10" s="1" t="s">
        <v>2440</v>
      </c>
      <c r="V10" s="1" t="str">
        <f>HYPERLINK("http://dx.doi.org/10.1007/s12273-025-1278-y","http://dx.doi.org/10.1007/s12273-025-1278-y")</f>
        <v>http://dx.doi.org/10.1007/s12273-025-1278-y</v>
      </c>
    </row>
    <row r="12" spans="1:22" x14ac:dyDescent="0.4">
      <c r="A12" s="10" t="s">
        <v>135</v>
      </c>
      <c r="B12" s="10" t="s">
        <v>136</v>
      </c>
      <c r="E12" s="10"/>
      <c r="F12" s="10"/>
    </row>
    <row r="13" spans="1:22" x14ac:dyDescent="0.4">
      <c r="C13" s="1" t="s">
        <v>589</v>
      </c>
      <c r="D13" s="1" t="s">
        <v>590</v>
      </c>
      <c r="E13" s="1" t="s">
        <v>591</v>
      </c>
      <c r="F13" s="1" t="s">
        <v>12</v>
      </c>
      <c r="G13" s="1" t="s">
        <v>262</v>
      </c>
      <c r="H13" s="1" t="s">
        <v>592</v>
      </c>
      <c r="I13" s="1" t="s">
        <v>593</v>
      </c>
      <c r="J13" s="1" t="s">
        <v>594</v>
      </c>
      <c r="K13" s="1" t="s">
        <v>595</v>
      </c>
      <c r="L13" s="1" t="s">
        <v>596</v>
      </c>
      <c r="M13" s="1" t="s">
        <v>597</v>
      </c>
      <c r="N13" s="1" t="s">
        <v>598</v>
      </c>
      <c r="O13" s="1" t="s">
        <v>22</v>
      </c>
      <c r="P13" s="1">
        <v>2024</v>
      </c>
      <c r="Q13" s="1">
        <v>17</v>
      </c>
      <c r="R13" s="1">
        <v>6</v>
      </c>
      <c r="S13" s="1">
        <v>877</v>
      </c>
      <c r="T13" s="1">
        <v>892</v>
      </c>
      <c r="U13" s="1" t="s">
        <v>599</v>
      </c>
      <c r="V13" s="1" t="str">
        <f>HYPERLINK("http://dx.doi.org/10.1007/s12273-024-1111-z","http://dx.doi.org/10.1007/s12273-024-1111-z")</f>
        <v>http://dx.doi.org/10.1007/s12273-024-1111-z</v>
      </c>
    </row>
    <row r="15" spans="1:22" ht="13.7" x14ac:dyDescent="0.5">
      <c r="A15" s="4" t="s">
        <v>98</v>
      </c>
      <c r="B15" s="10" t="s">
        <v>99</v>
      </c>
      <c r="E15" s="4"/>
      <c r="F15" s="10"/>
    </row>
    <row r="16" spans="1:22" x14ac:dyDescent="0.4">
      <c r="C16" s="1" t="s">
        <v>348</v>
      </c>
      <c r="D16" s="1" t="s">
        <v>349</v>
      </c>
      <c r="E16" s="1" t="s">
        <v>350</v>
      </c>
      <c r="F16" s="1" t="s">
        <v>12</v>
      </c>
      <c r="G16" s="1" t="s">
        <v>262</v>
      </c>
      <c r="H16" s="1" t="s">
        <v>351</v>
      </c>
      <c r="I16" s="1" t="s">
        <v>352</v>
      </c>
      <c r="J16" s="1" t="s">
        <v>353</v>
      </c>
      <c r="K16" s="1" t="s">
        <v>354</v>
      </c>
      <c r="L16" s="1" t="s">
        <v>355</v>
      </c>
      <c r="M16" s="1" t="s">
        <v>356</v>
      </c>
      <c r="N16" s="1" t="s">
        <v>357</v>
      </c>
      <c r="O16" s="1" t="s">
        <v>23</v>
      </c>
      <c r="P16" s="1">
        <v>2024</v>
      </c>
      <c r="Q16" s="1">
        <v>17</v>
      </c>
      <c r="R16" s="1">
        <v>4</v>
      </c>
      <c r="S16" s="1">
        <v>509</v>
      </c>
      <c r="T16" s="1">
        <v>524</v>
      </c>
      <c r="U16" s="1" t="s">
        <v>358</v>
      </c>
      <c r="V16" s="1" t="str">
        <f>HYPERLINK("http://dx.doi.org/10.1007/s12273-024-1103-z","http://dx.doi.org/10.1007/s12273-024-1103-z")</f>
        <v>http://dx.doi.org/10.1007/s12273-024-1103-z</v>
      </c>
    </row>
    <row r="17" spans="3:22" x14ac:dyDescent="0.4">
      <c r="C17" s="1" t="s">
        <v>3574</v>
      </c>
      <c r="D17" s="1" t="s">
        <v>2069</v>
      </c>
      <c r="E17" s="1" t="s">
        <v>2070</v>
      </c>
      <c r="F17" s="1" t="s">
        <v>12</v>
      </c>
      <c r="G17" s="1" t="s">
        <v>262</v>
      </c>
      <c r="H17" s="1" t="s">
        <v>2071</v>
      </c>
      <c r="I17" s="1" t="s">
        <v>2072</v>
      </c>
      <c r="J17" s="1" t="s">
        <v>2073</v>
      </c>
      <c r="K17" s="1" t="s">
        <v>2074</v>
      </c>
      <c r="L17" s="1" t="s">
        <v>355</v>
      </c>
      <c r="M17" s="1" t="s">
        <v>2075</v>
      </c>
      <c r="N17" s="1" t="s">
        <v>2076</v>
      </c>
      <c r="O17" s="1" t="s">
        <v>14</v>
      </c>
      <c r="P17" s="1">
        <v>2025</v>
      </c>
      <c r="Q17" s="1">
        <v>18</v>
      </c>
      <c r="R17" s="1">
        <v>11</v>
      </c>
      <c r="S17" s="1">
        <v>3097</v>
      </c>
      <c r="T17" s="1">
        <v>3118</v>
      </c>
      <c r="U17" s="1" t="s">
        <v>2077</v>
      </c>
      <c r="V17" s="1" t="str">
        <f>HYPERLINK("http://dx.doi.org/10.1007/s12273-025-1350-7","http://dx.doi.org/10.1007/s12273-025-1350-7")</f>
        <v>http://dx.doi.org/10.1007/s12273-025-1350-7</v>
      </c>
    </row>
    <row r="18" spans="3:22" x14ac:dyDescent="0.4">
      <c r="C18" s="1" t="s">
        <v>2325</v>
      </c>
      <c r="D18" s="1" t="s">
        <v>2326</v>
      </c>
      <c r="E18" s="1" t="s">
        <v>2327</v>
      </c>
      <c r="F18" s="1" t="s">
        <v>12</v>
      </c>
      <c r="G18" s="1" t="s">
        <v>262</v>
      </c>
      <c r="H18" s="1" t="s">
        <v>2328</v>
      </c>
      <c r="I18" s="1" t="s">
        <v>2329</v>
      </c>
      <c r="J18" s="1" t="s">
        <v>2330</v>
      </c>
      <c r="K18" s="1" t="s">
        <v>2331</v>
      </c>
      <c r="L18" s="1" t="s">
        <v>392</v>
      </c>
      <c r="M18" s="1" t="s">
        <v>2332</v>
      </c>
      <c r="N18" s="1" t="s">
        <v>2333</v>
      </c>
      <c r="O18" s="1" t="s">
        <v>15</v>
      </c>
      <c r="P18" s="1">
        <v>2025</v>
      </c>
      <c r="Q18" s="1">
        <v>18</v>
      </c>
      <c r="R18" s="1">
        <v>10</v>
      </c>
      <c r="S18" s="1">
        <v>2777</v>
      </c>
      <c r="T18" s="1">
        <v>2805</v>
      </c>
      <c r="U18" s="1" t="s">
        <v>2334</v>
      </c>
      <c r="V18" s="1" t="str">
        <f>HYPERLINK("http://dx.doi.org/10.1007/s12273-025-1337-4","http://dx.doi.org/10.1007/s12273-025-1337-4")</f>
        <v>http://dx.doi.org/10.1007/s12273-025-1337-4</v>
      </c>
    </row>
    <row r="19" spans="3:22" x14ac:dyDescent="0.4">
      <c r="C19" s="1" t="s">
        <v>2336</v>
      </c>
      <c r="D19" s="1" t="s">
        <v>2337</v>
      </c>
      <c r="E19" s="1" t="s">
        <v>2338</v>
      </c>
      <c r="F19" s="1" t="s">
        <v>12</v>
      </c>
      <c r="G19" s="1" t="s">
        <v>262</v>
      </c>
      <c r="H19" s="1" t="s">
        <v>2339</v>
      </c>
      <c r="I19" s="1" t="s">
        <v>2340</v>
      </c>
      <c r="J19" s="1" t="s">
        <v>2341</v>
      </c>
      <c r="K19" s="1" t="s">
        <v>2342</v>
      </c>
      <c r="L19" s="1" t="s">
        <v>2343</v>
      </c>
      <c r="M19" s="1" t="s">
        <v>2344</v>
      </c>
      <c r="N19" s="1" t="s">
        <v>2345</v>
      </c>
      <c r="O19" s="1" t="s">
        <v>16</v>
      </c>
      <c r="P19" s="1">
        <v>2025</v>
      </c>
      <c r="Q19" s="1">
        <v>18</v>
      </c>
      <c r="R19" s="1">
        <v>9</v>
      </c>
      <c r="S19" s="1">
        <v>2417</v>
      </c>
      <c r="T19" s="1">
        <v>2433</v>
      </c>
      <c r="U19" s="1" t="s">
        <v>2346</v>
      </c>
      <c r="V19" s="1" t="str">
        <f>HYPERLINK("http://dx.doi.org/10.1007/s12273-025-1310-2","http://dx.doi.org/10.1007/s12273-025-1310-2")</f>
        <v>http://dx.doi.org/10.1007/s12273-025-1310-2</v>
      </c>
    </row>
    <row r="20" spans="3:22" x14ac:dyDescent="0.4">
      <c r="C20" s="1" t="s">
        <v>1832</v>
      </c>
      <c r="D20" s="1" t="s">
        <v>1833</v>
      </c>
      <c r="E20" s="1" t="s">
        <v>1834</v>
      </c>
      <c r="F20" s="1" t="s">
        <v>12</v>
      </c>
      <c r="G20" s="1" t="s">
        <v>262</v>
      </c>
      <c r="H20" s="1" t="s">
        <v>1835</v>
      </c>
      <c r="I20" s="1" t="s">
        <v>1836</v>
      </c>
      <c r="J20" s="1" t="s">
        <v>1837</v>
      </c>
      <c r="K20" s="1" t="s">
        <v>1838</v>
      </c>
      <c r="L20" s="1" t="s">
        <v>1839</v>
      </c>
      <c r="M20" s="1" t="s">
        <v>1840</v>
      </c>
      <c r="N20" s="1" t="s">
        <v>1841</v>
      </c>
      <c r="O20" s="1" t="s">
        <v>27</v>
      </c>
      <c r="P20" s="1">
        <v>2025</v>
      </c>
      <c r="Q20" s="1">
        <v>18</v>
      </c>
      <c r="R20" s="1">
        <v>12</v>
      </c>
      <c r="S20" s="1">
        <v>3295</v>
      </c>
      <c r="T20" s="1">
        <v>3316</v>
      </c>
      <c r="U20" s="1" t="s">
        <v>1842</v>
      </c>
      <c r="V20" s="1" t="str">
        <f>HYPERLINK("http://dx.doi.org/10.1007/s12273-025-1357-0","http://dx.doi.org/10.1007/s12273-025-1357-0")</f>
        <v>http://dx.doi.org/10.1007/s12273-025-1357-0</v>
      </c>
    </row>
    <row r="21" spans="3:22" x14ac:dyDescent="0.4">
      <c r="C21" s="1" t="s">
        <v>1576</v>
      </c>
      <c r="D21" s="1" t="s">
        <v>1577</v>
      </c>
      <c r="E21" s="1" t="s">
        <v>1578</v>
      </c>
      <c r="F21" s="1" t="s">
        <v>12</v>
      </c>
      <c r="G21" s="1" t="s">
        <v>262</v>
      </c>
      <c r="H21" s="1" t="s">
        <v>1579</v>
      </c>
      <c r="I21" s="1" t="s">
        <v>1580</v>
      </c>
      <c r="J21" s="1" t="s">
        <v>1581</v>
      </c>
      <c r="K21" s="1" t="s">
        <v>1582</v>
      </c>
      <c r="L21" s="1" t="s">
        <v>1583</v>
      </c>
      <c r="M21" s="1" t="s">
        <v>1584</v>
      </c>
      <c r="N21" s="1" t="s">
        <v>1108</v>
      </c>
      <c r="O21" s="1" t="s">
        <v>24</v>
      </c>
      <c r="P21" s="1">
        <v>2025</v>
      </c>
      <c r="Q21" s="1">
        <v>18</v>
      </c>
      <c r="R21" s="1">
        <v>1</v>
      </c>
      <c r="S21" s="1">
        <v>99</v>
      </c>
      <c r="T21" s="1">
        <v>121</v>
      </c>
      <c r="U21" s="1" t="s">
        <v>1585</v>
      </c>
      <c r="V21" s="1" t="str">
        <f>HYPERLINK("http://dx.doi.org/10.1007/s12273-024-1195-5","http://dx.doi.org/10.1007/s12273-024-1195-5")</f>
        <v>http://dx.doi.org/10.1007/s12273-024-1195-5</v>
      </c>
    </row>
    <row r="22" spans="3:22" x14ac:dyDescent="0.4">
      <c r="C22" s="1" t="s">
        <v>3537</v>
      </c>
      <c r="D22" s="1" t="s">
        <v>3538</v>
      </c>
      <c r="E22" s="1" t="s">
        <v>3539</v>
      </c>
      <c r="F22" s="1" t="s">
        <v>12</v>
      </c>
      <c r="G22" s="1" t="s">
        <v>273</v>
      </c>
      <c r="H22" s="1" t="s">
        <v>3540</v>
      </c>
      <c r="I22" s="1" t="s">
        <v>3541</v>
      </c>
      <c r="J22" s="1" t="s">
        <v>3542</v>
      </c>
      <c r="K22" s="1" t="s">
        <v>3543</v>
      </c>
      <c r="L22" s="1" t="s">
        <v>3544</v>
      </c>
      <c r="M22" s="1" t="s">
        <v>3545</v>
      </c>
      <c r="N22" s="1" t="s">
        <v>3546</v>
      </c>
      <c r="O22" s="1" t="s">
        <v>22</v>
      </c>
      <c r="P22" s="1">
        <v>2025</v>
      </c>
      <c r="Q22" s="1">
        <v>18</v>
      </c>
      <c r="R22" s="1">
        <v>6</v>
      </c>
      <c r="S22" s="1">
        <v>1251</v>
      </c>
      <c r="T22" s="1">
        <v>1273</v>
      </c>
      <c r="U22" s="1" t="s">
        <v>3547</v>
      </c>
      <c r="V22" s="1" t="str">
        <f>HYPERLINK("http://dx.doi.org/10.1007/s12273-025-1279-x","http://dx.doi.org/10.1007/s12273-025-1279-x")</f>
        <v>http://dx.doi.org/10.1007/s12273-025-1279-x</v>
      </c>
    </row>
  </sheetData>
  <phoneticPr fontId="2" type="noConversion"/>
  <conditionalFormatting sqref="U1">
    <cfRule type="duplicateValues" dxfId="117" priority="13" stopIfTrue="1"/>
  </conditionalFormatting>
  <conditionalFormatting sqref="U3">
    <cfRule type="duplicateValues" dxfId="116" priority="9" stopIfTrue="1"/>
  </conditionalFormatting>
  <conditionalFormatting sqref="U4">
    <cfRule type="duplicateValues" dxfId="115" priority="21" stopIfTrue="1"/>
  </conditionalFormatting>
  <conditionalFormatting sqref="U6">
    <cfRule type="duplicateValues" dxfId="114" priority="12" stopIfTrue="1"/>
  </conditionalFormatting>
  <conditionalFormatting sqref="U7">
    <cfRule type="duplicateValues" dxfId="113" priority="14" stopIfTrue="1"/>
  </conditionalFormatting>
  <conditionalFormatting sqref="U8">
    <cfRule type="duplicateValues" dxfId="112" priority="10" stopIfTrue="1"/>
  </conditionalFormatting>
  <conditionalFormatting sqref="U9">
    <cfRule type="duplicateValues" dxfId="111" priority="7" stopIfTrue="1"/>
  </conditionalFormatting>
  <conditionalFormatting sqref="U10:U11">
    <cfRule type="duplicateValues" dxfId="110" priority="3" stopIfTrue="1"/>
  </conditionalFormatting>
  <conditionalFormatting sqref="U13">
    <cfRule type="duplicateValues" dxfId="109" priority="15" stopIfTrue="1"/>
  </conditionalFormatting>
  <conditionalFormatting sqref="U14">
    <cfRule type="duplicateValues" dxfId="108" priority="20" stopIfTrue="1"/>
  </conditionalFormatting>
  <conditionalFormatting sqref="U16">
    <cfRule type="duplicateValues" dxfId="107" priority="16" stopIfTrue="1"/>
  </conditionalFormatting>
  <conditionalFormatting sqref="U17">
    <cfRule type="duplicateValues" dxfId="106" priority="8" stopIfTrue="1"/>
  </conditionalFormatting>
  <conditionalFormatting sqref="U18">
    <cfRule type="duplicateValues" dxfId="105" priority="6" stopIfTrue="1"/>
  </conditionalFormatting>
  <conditionalFormatting sqref="U19">
    <cfRule type="duplicateValues" dxfId="104" priority="5" stopIfTrue="1"/>
  </conditionalFormatting>
  <conditionalFormatting sqref="U20">
    <cfRule type="duplicateValues" dxfId="103" priority="11" stopIfTrue="1"/>
  </conditionalFormatting>
  <conditionalFormatting sqref="U21">
    <cfRule type="duplicateValues" dxfId="102" priority="2" stopIfTrue="1"/>
  </conditionalFormatting>
  <conditionalFormatting sqref="U22">
    <cfRule type="duplicateValues" dxfId="101" priority="1" stopIfTrue="1"/>
  </conditionalFormatting>
  <conditionalFormatting sqref="U24">
    <cfRule type="duplicateValues" dxfId="100" priority="4" stopIfTrue="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4"/>
  <sheetViews>
    <sheetView zoomScaleNormal="100" workbookViewId="0"/>
  </sheetViews>
  <sheetFormatPr defaultColWidth="9.1171875" defaultRowHeight="12.7" x14ac:dyDescent="0.4"/>
  <cols>
    <col min="1" max="1" width="15.29296875" style="1" customWidth="1"/>
    <col min="2" max="2" width="17.41015625" style="1" customWidth="1"/>
    <col min="3" max="3" width="19.41015625" style="1" bestFit="1" customWidth="1"/>
    <col min="4" max="4" width="47.41015625" style="1" bestFit="1" customWidth="1"/>
    <col min="5" max="5" width="19.41015625" style="1" bestFit="1" customWidth="1"/>
    <col min="6" max="6" width="47.41015625" style="1" bestFit="1" customWidth="1"/>
    <col min="7" max="16384" width="9.1171875" style="1"/>
  </cols>
  <sheetData>
    <row r="1" spans="1:22" s="9" customFormat="1" ht="38" x14ac:dyDescent="0.4">
      <c r="C1" s="16" t="s">
        <v>162</v>
      </c>
      <c r="D1" s="16" t="s">
        <v>0</v>
      </c>
      <c r="E1" s="16" t="s">
        <v>161</v>
      </c>
      <c r="F1" s="16" t="s">
        <v>1</v>
      </c>
      <c r="G1" s="16" t="s">
        <v>255</v>
      </c>
      <c r="H1" s="16" t="s">
        <v>163</v>
      </c>
      <c r="I1" s="16" t="s">
        <v>254</v>
      </c>
      <c r="J1" s="16" t="s">
        <v>164</v>
      </c>
      <c r="K1" s="16" t="s">
        <v>256</v>
      </c>
      <c r="L1" s="16" t="s">
        <v>257</v>
      </c>
      <c r="M1" s="16" t="s">
        <v>258</v>
      </c>
      <c r="N1" s="16" t="s">
        <v>259</v>
      </c>
      <c r="O1" s="16" t="s">
        <v>2</v>
      </c>
      <c r="P1" s="16" t="s">
        <v>3</v>
      </c>
      <c r="Q1" s="16" t="s">
        <v>4</v>
      </c>
      <c r="R1" s="16" t="s">
        <v>5</v>
      </c>
      <c r="S1" s="16" t="s">
        <v>6</v>
      </c>
      <c r="T1" s="16" t="s">
        <v>7</v>
      </c>
      <c r="U1" s="16" t="s">
        <v>8</v>
      </c>
      <c r="V1" s="16" t="s">
        <v>9</v>
      </c>
    </row>
    <row r="2" spans="1:22" ht="13.7" x14ac:dyDescent="0.5">
      <c r="A2" s="4" t="s">
        <v>138</v>
      </c>
      <c r="B2" s="10" t="s">
        <v>139</v>
      </c>
      <c r="E2" s="4"/>
      <c r="F2" s="10"/>
    </row>
    <row r="3" spans="1:22" ht="13.7" x14ac:dyDescent="0.4">
      <c r="A3" s="2"/>
      <c r="B3" s="2"/>
      <c r="C3" s="1" t="s">
        <v>1880</v>
      </c>
      <c r="D3" s="1" t="s">
        <v>1881</v>
      </c>
      <c r="E3" s="1" t="s">
        <v>1882</v>
      </c>
      <c r="F3" s="1" t="s">
        <v>12</v>
      </c>
      <c r="G3" s="1" t="s">
        <v>262</v>
      </c>
      <c r="H3" s="1" t="s">
        <v>1883</v>
      </c>
      <c r="I3" s="1" t="s">
        <v>1884</v>
      </c>
      <c r="J3" s="1" t="s">
        <v>1885</v>
      </c>
      <c r="K3" s="1" t="s">
        <v>1886</v>
      </c>
      <c r="L3" s="1" t="s">
        <v>1887</v>
      </c>
      <c r="M3" s="1" t="s">
        <v>1888</v>
      </c>
      <c r="N3" s="1" t="s">
        <v>1889</v>
      </c>
      <c r="O3" s="1" t="s">
        <v>27</v>
      </c>
      <c r="P3" s="1">
        <v>2025</v>
      </c>
      <c r="Q3" s="1">
        <v>18</v>
      </c>
      <c r="R3" s="1">
        <v>12</v>
      </c>
      <c r="S3" s="1">
        <v>3247</v>
      </c>
      <c r="T3" s="1">
        <v>3260</v>
      </c>
      <c r="U3" s="1" t="s">
        <v>1890</v>
      </c>
      <c r="V3" s="1" t="str">
        <f>HYPERLINK("http://dx.doi.org/10.1007/s12273-025-1378-8","http://dx.doi.org/10.1007/s12273-025-1378-8")</f>
        <v>http://dx.doi.org/10.1007/s12273-025-1378-8</v>
      </c>
    </row>
    <row r="4" spans="1:22" ht="13.7" x14ac:dyDescent="0.4">
      <c r="A4" s="2"/>
      <c r="B4" s="2"/>
    </row>
    <row r="5" spans="1:22" ht="13.7" x14ac:dyDescent="0.5">
      <c r="A5" s="4" t="s">
        <v>140</v>
      </c>
      <c r="B5" s="10" t="s">
        <v>141</v>
      </c>
      <c r="E5" s="4"/>
      <c r="F5" s="10"/>
    </row>
    <row r="6" spans="1:22" x14ac:dyDescent="0.4">
      <c r="C6" s="1" t="s">
        <v>2133</v>
      </c>
      <c r="D6" s="1" t="s">
        <v>2134</v>
      </c>
      <c r="E6" s="1" t="s">
        <v>2135</v>
      </c>
      <c r="F6" s="1" t="s">
        <v>12</v>
      </c>
      <c r="G6" s="1" t="s">
        <v>262</v>
      </c>
      <c r="H6" s="1" t="s">
        <v>2136</v>
      </c>
      <c r="I6" s="1" t="s">
        <v>2137</v>
      </c>
      <c r="J6" s="1" t="s">
        <v>2138</v>
      </c>
      <c r="K6" s="1" t="s">
        <v>2139</v>
      </c>
      <c r="L6" s="1" t="s">
        <v>2140</v>
      </c>
      <c r="M6" s="1" t="s">
        <v>2141</v>
      </c>
      <c r="N6" s="1" t="s">
        <v>2142</v>
      </c>
      <c r="O6" s="1" t="s">
        <v>15</v>
      </c>
      <c r="P6" s="1">
        <v>2025</v>
      </c>
      <c r="Q6" s="1">
        <v>18</v>
      </c>
      <c r="R6" s="1">
        <v>10</v>
      </c>
      <c r="S6" s="1">
        <v>2625</v>
      </c>
      <c r="T6" s="1">
        <v>2641</v>
      </c>
      <c r="U6" s="1" t="s">
        <v>2143</v>
      </c>
      <c r="V6" s="1" t="str">
        <f>HYPERLINK("http://dx.doi.org/10.1007/s12273-025-1325-8","http://dx.doi.org/10.1007/s12273-025-1325-8")</f>
        <v>http://dx.doi.org/10.1007/s12273-025-1325-8</v>
      </c>
    </row>
    <row r="7" spans="1:22" x14ac:dyDescent="0.4">
      <c r="C7" s="1" t="s">
        <v>2265</v>
      </c>
      <c r="D7" s="1" t="s">
        <v>2266</v>
      </c>
      <c r="E7" s="1" t="s">
        <v>2267</v>
      </c>
      <c r="F7" s="1" t="s">
        <v>12</v>
      </c>
      <c r="G7" s="1" t="s">
        <v>262</v>
      </c>
      <c r="H7" s="1" t="s">
        <v>2268</v>
      </c>
      <c r="I7" s="1" t="s">
        <v>2269</v>
      </c>
      <c r="J7" s="1" t="s">
        <v>2270</v>
      </c>
      <c r="K7" s="1" t="s">
        <v>2271</v>
      </c>
      <c r="L7" s="1" t="s">
        <v>2272</v>
      </c>
      <c r="M7" s="1" t="s">
        <v>2273</v>
      </c>
      <c r="N7" s="1" t="s">
        <v>2274</v>
      </c>
      <c r="O7" s="1" t="s">
        <v>16</v>
      </c>
      <c r="P7" s="1">
        <v>2025</v>
      </c>
      <c r="Q7" s="1">
        <v>18</v>
      </c>
      <c r="R7" s="1">
        <v>9</v>
      </c>
      <c r="S7" s="1">
        <v>2405</v>
      </c>
      <c r="T7" s="1">
        <v>2416</v>
      </c>
      <c r="U7" s="1" t="s">
        <v>2275</v>
      </c>
      <c r="V7" s="1" t="str">
        <f>HYPERLINK("http://dx.doi.org/10.1007/s12273-025-1330-y","http://dx.doi.org/10.1007/s12273-025-1330-y")</f>
        <v>http://dx.doi.org/10.1007/s12273-025-1330-y</v>
      </c>
    </row>
    <row r="8" spans="1:22" ht="13.7" x14ac:dyDescent="0.4">
      <c r="A8" s="2"/>
      <c r="B8" s="2"/>
      <c r="C8" s="1" t="s">
        <v>3267</v>
      </c>
      <c r="D8" s="1" t="s">
        <v>3268</v>
      </c>
      <c r="E8" s="1" t="s">
        <v>3269</v>
      </c>
      <c r="F8" s="1" t="s">
        <v>12</v>
      </c>
      <c r="G8" s="1" t="s">
        <v>262</v>
      </c>
      <c r="H8" s="1" t="s">
        <v>3270</v>
      </c>
      <c r="I8" s="1" t="s">
        <v>3271</v>
      </c>
      <c r="J8" s="1" t="s">
        <v>3272</v>
      </c>
      <c r="K8" s="1" t="s">
        <v>3273</v>
      </c>
      <c r="L8" s="1" t="s">
        <v>3274</v>
      </c>
      <c r="M8" s="1" t="s">
        <v>3275</v>
      </c>
      <c r="N8" s="1" t="s">
        <v>3276</v>
      </c>
      <c r="O8" s="1" t="s">
        <v>25</v>
      </c>
      <c r="P8" s="1">
        <v>2025</v>
      </c>
      <c r="Q8" s="1">
        <v>18</v>
      </c>
      <c r="R8" s="1">
        <v>3</v>
      </c>
      <c r="S8" s="1">
        <v>619</v>
      </c>
      <c r="T8" s="1">
        <v>639</v>
      </c>
      <c r="U8" s="1" t="s">
        <v>3277</v>
      </c>
      <c r="V8" s="1" t="str">
        <f>HYPERLINK("http://dx.doi.org/10.1007/s12273-025-1232-z","http://dx.doi.org/10.1007/s12273-025-1232-z")</f>
        <v>http://dx.doi.org/10.1007/s12273-025-1232-z</v>
      </c>
    </row>
    <row r="9" spans="1:22" x14ac:dyDescent="0.4">
      <c r="C9" s="1" t="s">
        <v>1712</v>
      </c>
      <c r="D9" s="1" t="s">
        <v>1713</v>
      </c>
      <c r="E9" s="1" t="s">
        <v>1714</v>
      </c>
      <c r="F9" s="1" t="s">
        <v>12</v>
      </c>
      <c r="G9" s="1" t="s">
        <v>262</v>
      </c>
      <c r="H9" s="1" t="s">
        <v>1715</v>
      </c>
      <c r="I9" s="1" t="s">
        <v>1716</v>
      </c>
      <c r="J9" s="1" t="s">
        <v>1717</v>
      </c>
      <c r="K9" s="1" t="s">
        <v>1718</v>
      </c>
      <c r="L9" s="1" t="s">
        <v>1719</v>
      </c>
      <c r="M9" s="1" t="s">
        <v>1720</v>
      </c>
      <c r="N9" s="1" t="s">
        <v>1721</v>
      </c>
      <c r="O9" s="1" t="s">
        <v>26</v>
      </c>
      <c r="P9" s="1">
        <v>2025</v>
      </c>
      <c r="Q9" s="1">
        <v>18</v>
      </c>
      <c r="R9" s="1">
        <v>2</v>
      </c>
      <c r="S9" s="1">
        <v>449</v>
      </c>
      <c r="T9" s="1">
        <v>471</v>
      </c>
      <c r="U9" s="1" t="s">
        <v>1722</v>
      </c>
      <c r="V9" s="1" t="str">
        <f>HYPERLINK("http://dx.doi.org/10.1007/s12273-024-1217-3","http://dx.doi.org/10.1007/s12273-024-1217-3")</f>
        <v>http://dx.doi.org/10.1007/s12273-024-1217-3</v>
      </c>
    </row>
    <row r="10" spans="1:22" x14ac:dyDescent="0.4">
      <c r="C10" s="1" t="s">
        <v>1564</v>
      </c>
      <c r="D10" s="1" t="s">
        <v>1565</v>
      </c>
      <c r="E10" s="1" t="s">
        <v>1566</v>
      </c>
      <c r="F10" s="1" t="s">
        <v>12</v>
      </c>
      <c r="G10" s="1" t="s">
        <v>262</v>
      </c>
      <c r="H10" s="1" t="s">
        <v>1567</v>
      </c>
      <c r="I10" s="1" t="s">
        <v>1568</v>
      </c>
      <c r="J10" s="1" t="s">
        <v>1569</v>
      </c>
      <c r="K10" s="1" t="s">
        <v>1570</v>
      </c>
      <c r="L10" s="1" t="s">
        <v>1571</v>
      </c>
      <c r="M10" s="1" t="s">
        <v>1572</v>
      </c>
      <c r="N10" s="1" t="s">
        <v>1573</v>
      </c>
      <c r="O10" s="1" t="s">
        <v>24</v>
      </c>
      <c r="P10" s="1">
        <v>2025</v>
      </c>
      <c r="Q10" s="1">
        <v>18</v>
      </c>
      <c r="R10" s="1">
        <v>1</v>
      </c>
      <c r="S10" s="1">
        <v>87</v>
      </c>
      <c r="T10" s="1">
        <v>98</v>
      </c>
      <c r="U10" s="1" t="s">
        <v>1574</v>
      </c>
      <c r="V10" s="1" t="str">
        <f>HYPERLINK("http://dx.doi.org/10.1007/s12273-024-1188-4","http://dx.doi.org/10.1007/s12273-024-1188-4")</f>
        <v>http://dx.doi.org/10.1007/s12273-024-1188-4</v>
      </c>
    </row>
    <row r="12" spans="1:22" ht="13.7" x14ac:dyDescent="0.5">
      <c r="A12" s="4" t="s">
        <v>142</v>
      </c>
      <c r="B12" s="10" t="s">
        <v>143</v>
      </c>
      <c r="E12" s="4"/>
      <c r="F12" s="10"/>
    </row>
    <row r="13" spans="1:22" x14ac:dyDescent="0.4">
      <c r="C13" s="1" t="s">
        <v>1471</v>
      </c>
      <c r="D13" s="1" t="s">
        <v>1472</v>
      </c>
      <c r="E13" s="1" t="s">
        <v>1473</v>
      </c>
      <c r="F13" s="1" t="s">
        <v>12</v>
      </c>
      <c r="G13" s="1" t="s">
        <v>262</v>
      </c>
      <c r="H13" s="1" t="s">
        <v>1474</v>
      </c>
      <c r="I13" s="1" t="s">
        <v>1475</v>
      </c>
      <c r="J13" s="1" t="s">
        <v>1476</v>
      </c>
      <c r="K13" s="1" t="s">
        <v>1477</v>
      </c>
      <c r="L13" s="1" t="s">
        <v>439</v>
      </c>
      <c r="M13" s="1" t="s">
        <v>1478</v>
      </c>
      <c r="N13" s="1" t="s">
        <v>1479</v>
      </c>
      <c r="O13" s="1" t="s">
        <v>27</v>
      </c>
      <c r="P13" s="1">
        <v>2024</v>
      </c>
      <c r="Q13" s="1">
        <v>17</v>
      </c>
      <c r="R13" s="1">
        <v>12</v>
      </c>
      <c r="S13" s="1">
        <v>2297</v>
      </c>
      <c r="T13" s="1">
        <v>2309</v>
      </c>
      <c r="U13" s="1" t="s">
        <v>1480</v>
      </c>
      <c r="V13" s="1" t="str">
        <f>HYPERLINK("http://dx.doi.org/10.1007/s12273-024-1201-y","http://dx.doi.org/10.1007/s12273-024-1201-y")</f>
        <v>http://dx.doi.org/10.1007/s12273-024-1201-y</v>
      </c>
    </row>
    <row r="14" spans="1:22" x14ac:dyDescent="0.4">
      <c r="C14" s="1" t="s">
        <v>1564</v>
      </c>
      <c r="D14" s="1" t="s">
        <v>1565</v>
      </c>
      <c r="E14" s="1" t="s">
        <v>1566</v>
      </c>
      <c r="F14" s="1" t="s">
        <v>12</v>
      </c>
      <c r="G14" s="1" t="s">
        <v>1750</v>
      </c>
      <c r="H14" s="1" t="s">
        <v>1567</v>
      </c>
      <c r="I14" s="1" t="s">
        <v>1568</v>
      </c>
      <c r="J14" s="1" t="s">
        <v>1569</v>
      </c>
      <c r="K14" s="1" t="s">
        <v>1570</v>
      </c>
      <c r="L14" s="1" t="s">
        <v>1571</v>
      </c>
      <c r="M14" s="1" t="s">
        <v>1572</v>
      </c>
      <c r="N14" s="1" t="s">
        <v>1573</v>
      </c>
      <c r="O14" s="1" t="s">
        <v>1751</v>
      </c>
      <c r="P14" s="1">
        <v>2025</v>
      </c>
      <c r="Q14" s="1">
        <v>18</v>
      </c>
      <c r="R14" s="1">
        <v>1</v>
      </c>
      <c r="S14" s="1">
        <v>87</v>
      </c>
      <c r="T14" s="1">
        <v>98</v>
      </c>
      <c r="U14" s="1" t="s">
        <v>1574</v>
      </c>
      <c r="V14" s="1" t="str">
        <f>HYPERLINK("http://dx.doi.org/10.1007/s12273-024-1188-4","http://dx.doi.org/10.1007/s12273-024-1188-4")</f>
        <v>http://dx.doi.org/10.1007/s12273-024-1188-4</v>
      </c>
    </row>
  </sheetData>
  <phoneticPr fontId="2" type="noConversion"/>
  <conditionalFormatting sqref="U1">
    <cfRule type="duplicateValues" dxfId="99" priority="7" stopIfTrue="1"/>
  </conditionalFormatting>
  <conditionalFormatting sqref="U3">
    <cfRule type="duplicateValues" dxfId="98" priority="6" stopIfTrue="1"/>
  </conditionalFormatting>
  <conditionalFormatting sqref="U4">
    <cfRule type="duplicateValues" dxfId="97" priority="12" stopIfTrue="1"/>
  </conditionalFormatting>
  <conditionalFormatting sqref="U6">
    <cfRule type="duplicateValues" dxfId="96" priority="5" stopIfTrue="1"/>
  </conditionalFormatting>
  <conditionalFormatting sqref="U7">
    <cfRule type="duplicateValues" dxfId="95" priority="4" stopIfTrue="1"/>
  </conditionalFormatting>
  <conditionalFormatting sqref="U8">
    <cfRule type="duplicateValues" dxfId="94" priority="3" stopIfTrue="1"/>
  </conditionalFormatting>
  <conditionalFormatting sqref="U9 U11">
    <cfRule type="duplicateValues" dxfId="93" priority="2" stopIfTrue="1"/>
  </conditionalFormatting>
  <conditionalFormatting sqref="U10">
    <cfRule type="duplicateValues" dxfId="92" priority="1" stopIfTrue="1"/>
  </conditionalFormatting>
  <conditionalFormatting sqref="U13">
    <cfRule type="duplicateValues" dxfId="91" priority="9" stopIfTrue="1"/>
  </conditionalFormatting>
  <conditionalFormatting sqref="U14">
    <cfRule type="duplicateValues" dxfId="90" priority="8" stopIfTrue="1"/>
  </conditionalFormatting>
  <hyperlinks>
    <hyperlink ref="B12" location="particle!A1" display="particle"/>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
  <sheetViews>
    <sheetView workbookViewId="0"/>
  </sheetViews>
  <sheetFormatPr defaultColWidth="9.1171875" defaultRowHeight="12.7" x14ac:dyDescent="0.4"/>
  <cols>
    <col min="1" max="1" width="15.29296875" style="1" customWidth="1"/>
    <col min="2" max="2" width="17.41015625" style="1" customWidth="1"/>
    <col min="3" max="3" width="17.87890625" style="1" bestFit="1" customWidth="1"/>
    <col min="4" max="4" width="28" style="1" bestFit="1" customWidth="1"/>
    <col min="5" max="5" width="17.87890625" style="1" bestFit="1" customWidth="1"/>
    <col min="6" max="6" width="28" style="1" bestFit="1" customWidth="1"/>
    <col min="7" max="16384" width="9.1171875" style="1"/>
  </cols>
  <sheetData>
    <row r="1" spans="1:22" s="9" customFormat="1" ht="38" x14ac:dyDescent="0.4">
      <c r="C1" s="16" t="s">
        <v>162</v>
      </c>
      <c r="D1" s="16" t="s">
        <v>0</v>
      </c>
      <c r="E1" s="16" t="s">
        <v>161</v>
      </c>
      <c r="F1" s="16" t="s">
        <v>1</v>
      </c>
      <c r="G1" s="16" t="s">
        <v>255</v>
      </c>
      <c r="H1" s="16" t="s">
        <v>163</v>
      </c>
      <c r="I1" s="16" t="s">
        <v>254</v>
      </c>
      <c r="J1" s="16" t="s">
        <v>164</v>
      </c>
      <c r="K1" s="16" t="s">
        <v>256</v>
      </c>
      <c r="L1" s="16" t="s">
        <v>257</v>
      </c>
      <c r="M1" s="16" t="s">
        <v>258</v>
      </c>
      <c r="N1" s="16" t="s">
        <v>259</v>
      </c>
      <c r="O1" s="16" t="s">
        <v>2</v>
      </c>
      <c r="P1" s="16" t="s">
        <v>3</v>
      </c>
      <c r="Q1" s="16" t="s">
        <v>4</v>
      </c>
      <c r="R1" s="16" t="s">
        <v>5</v>
      </c>
      <c r="S1" s="16" t="s">
        <v>6</v>
      </c>
      <c r="T1" s="16" t="s">
        <v>7</v>
      </c>
      <c r="U1" s="16" t="s">
        <v>8</v>
      </c>
      <c r="V1" s="16" t="s">
        <v>9</v>
      </c>
    </row>
    <row r="2" spans="1:22" ht="13.7" x14ac:dyDescent="0.5">
      <c r="A2" s="10" t="s">
        <v>145</v>
      </c>
      <c r="B2" s="10" t="s">
        <v>146</v>
      </c>
      <c r="E2" s="10"/>
      <c r="F2" s="10"/>
    </row>
    <row r="3" spans="1:22" x14ac:dyDescent="0.4">
      <c r="C3" s="1" t="s">
        <v>1939</v>
      </c>
      <c r="D3" s="1" t="s">
        <v>1940</v>
      </c>
      <c r="E3" s="1" t="s">
        <v>1941</v>
      </c>
      <c r="F3" s="1" t="s">
        <v>12</v>
      </c>
      <c r="G3" s="1" t="s">
        <v>262</v>
      </c>
      <c r="H3" s="1" t="s">
        <v>1942</v>
      </c>
      <c r="I3" s="1" t="s">
        <v>1943</v>
      </c>
      <c r="J3" s="1" t="s">
        <v>1944</v>
      </c>
      <c r="K3" s="1" t="s">
        <v>1945</v>
      </c>
      <c r="L3" s="1" t="s">
        <v>1946</v>
      </c>
      <c r="M3" s="1" t="s">
        <v>1947</v>
      </c>
      <c r="N3" s="1" t="s">
        <v>1948</v>
      </c>
      <c r="O3" s="1" t="s">
        <v>14</v>
      </c>
      <c r="P3" s="1">
        <v>2025</v>
      </c>
      <c r="Q3" s="1">
        <v>18</v>
      </c>
      <c r="R3" s="1">
        <v>11</v>
      </c>
      <c r="S3" s="1">
        <v>2985</v>
      </c>
      <c r="T3" s="1">
        <v>3010</v>
      </c>
      <c r="U3" s="1" t="s">
        <v>1949</v>
      </c>
      <c r="V3" s="1" t="str">
        <f>HYPERLINK("http://dx.doi.org/10.1007/s12273-025-1355-2","http://dx.doi.org/10.1007/s12273-025-1355-2")</f>
        <v>http://dx.doi.org/10.1007/s12273-025-1355-2</v>
      </c>
    </row>
    <row r="4" spans="1:22" x14ac:dyDescent="0.4">
      <c r="A4" s="10"/>
      <c r="B4" s="10"/>
      <c r="C4" s="1" t="s">
        <v>1999</v>
      </c>
      <c r="D4" s="1" t="s">
        <v>2000</v>
      </c>
      <c r="E4" s="1" t="s">
        <v>2001</v>
      </c>
      <c r="F4" s="1" t="s">
        <v>12</v>
      </c>
      <c r="G4" s="1" t="s">
        <v>262</v>
      </c>
      <c r="H4" s="1" t="s">
        <v>2002</v>
      </c>
      <c r="I4" s="1" t="s">
        <v>2003</v>
      </c>
      <c r="J4" s="1" t="s">
        <v>2004</v>
      </c>
      <c r="K4" s="1" t="s">
        <v>2005</v>
      </c>
      <c r="L4" s="1" t="s">
        <v>2006</v>
      </c>
      <c r="M4" s="1" t="s">
        <v>2007</v>
      </c>
      <c r="N4" s="1" t="s">
        <v>2008</v>
      </c>
      <c r="O4" s="1" t="s">
        <v>15</v>
      </c>
      <c r="P4" s="1">
        <v>2025</v>
      </c>
      <c r="Q4" s="1">
        <v>18</v>
      </c>
      <c r="R4" s="1">
        <v>10</v>
      </c>
      <c r="S4" s="1">
        <v>2601</v>
      </c>
      <c r="T4" s="1">
        <v>2623</v>
      </c>
      <c r="U4" s="1" t="s">
        <v>2009</v>
      </c>
      <c r="V4" s="1" t="str">
        <f>HYPERLINK("http://dx.doi.org/10.1007/s12273-025-1342-7","http://dx.doi.org/10.1007/s12273-025-1342-7")</f>
        <v>http://dx.doi.org/10.1007/s12273-025-1342-7</v>
      </c>
    </row>
    <row r="5" spans="1:22" x14ac:dyDescent="0.4">
      <c r="C5" s="1" t="s">
        <v>2277</v>
      </c>
      <c r="D5" s="1" t="s">
        <v>2278</v>
      </c>
      <c r="E5" s="1" t="s">
        <v>2279</v>
      </c>
      <c r="F5" s="1" t="s">
        <v>12</v>
      </c>
      <c r="G5" s="1" t="s">
        <v>262</v>
      </c>
      <c r="H5" s="1" t="s">
        <v>2280</v>
      </c>
      <c r="I5" s="1" t="s">
        <v>2281</v>
      </c>
      <c r="J5" s="1" t="s">
        <v>2282</v>
      </c>
      <c r="K5" s="1" t="s">
        <v>2283</v>
      </c>
      <c r="L5" s="1" t="s">
        <v>2284</v>
      </c>
      <c r="M5" s="1" t="s">
        <v>2285</v>
      </c>
      <c r="N5" s="1" t="s">
        <v>2286</v>
      </c>
      <c r="O5" s="1" t="s">
        <v>14</v>
      </c>
      <c r="P5" s="1">
        <v>2025</v>
      </c>
      <c r="Q5" s="1">
        <v>18</v>
      </c>
      <c r="R5" s="1">
        <v>11</v>
      </c>
      <c r="S5" s="1">
        <v>3011</v>
      </c>
      <c r="T5" s="1">
        <v>3030</v>
      </c>
      <c r="U5" s="1" t="s">
        <v>2287</v>
      </c>
      <c r="V5" s="1" t="str">
        <f>HYPERLINK("http://dx.doi.org/10.1007/s12273-025-1354-3","http://dx.doi.org/10.1007/s12273-025-1354-3")</f>
        <v>http://dx.doi.org/10.1007/s12273-025-1354-3</v>
      </c>
    </row>
    <row r="6" spans="1:22" ht="13.7" x14ac:dyDescent="0.5">
      <c r="A6" s="4"/>
      <c r="B6" s="4"/>
      <c r="C6" s="1" t="s">
        <v>1250</v>
      </c>
      <c r="D6" s="1" t="s">
        <v>1251</v>
      </c>
      <c r="E6" s="1" t="s">
        <v>1252</v>
      </c>
      <c r="F6" s="1" t="s">
        <v>12</v>
      </c>
      <c r="G6" s="1" t="s">
        <v>262</v>
      </c>
      <c r="H6" s="1" t="s">
        <v>1253</v>
      </c>
      <c r="I6" s="1" t="s">
        <v>1254</v>
      </c>
      <c r="J6" s="1" t="s">
        <v>1255</v>
      </c>
      <c r="K6" s="1" t="s">
        <v>1256</v>
      </c>
      <c r="L6" s="1" t="s">
        <v>1257</v>
      </c>
      <c r="M6" s="1" t="s">
        <v>1258</v>
      </c>
      <c r="N6" s="1" t="s">
        <v>1259</v>
      </c>
      <c r="O6" s="1" t="s">
        <v>14</v>
      </c>
      <c r="P6" s="1">
        <v>2024</v>
      </c>
      <c r="Q6" s="1">
        <v>17</v>
      </c>
      <c r="R6" s="1">
        <v>11</v>
      </c>
      <c r="S6" s="1">
        <v>1951</v>
      </c>
      <c r="T6" s="1">
        <v>1969</v>
      </c>
      <c r="U6" s="1" t="s">
        <v>1260</v>
      </c>
      <c r="V6" s="1" t="str">
        <f>HYPERLINK("http://dx.doi.org/10.1007/s12273-024-1173-y","http://dx.doi.org/10.1007/s12273-024-1173-y")</f>
        <v>http://dx.doi.org/10.1007/s12273-024-1173-y</v>
      </c>
    </row>
    <row r="7" spans="1:22" ht="13.7" x14ac:dyDescent="0.5">
      <c r="A7" s="4"/>
      <c r="B7" s="4"/>
      <c r="C7" s="1" t="s">
        <v>2485</v>
      </c>
      <c r="D7" s="1" t="s">
        <v>2486</v>
      </c>
      <c r="E7" s="1" t="s">
        <v>2487</v>
      </c>
      <c r="F7" s="1" t="s">
        <v>12</v>
      </c>
      <c r="G7" s="1" t="s">
        <v>262</v>
      </c>
      <c r="H7" s="1" t="s">
        <v>2488</v>
      </c>
      <c r="I7" s="1" t="s">
        <v>2489</v>
      </c>
      <c r="J7" s="1" t="s">
        <v>2490</v>
      </c>
      <c r="K7" s="1" t="s">
        <v>2491</v>
      </c>
      <c r="L7" s="1" t="s">
        <v>427</v>
      </c>
      <c r="M7" s="1" t="s">
        <v>2492</v>
      </c>
      <c r="N7" s="1" t="s">
        <v>429</v>
      </c>
      <c r="O7" s="1" t="s">
        <v>20</v>
      </c>
      <c r="P7" s="1">
        <v>2025</v>
      </c>
      <c r="Q7" s="1">
        <v>18</v>
      </c>
      <c r="R7" s="1">
        <v>7</v>
      </c>
      <c r="S7" s="1">
        <v>1587</v>
      </c>
      <c r="T7" s="1">
        <v>1609</v>
      </c>
      <c r="U7" s="1" t="s">
        <v>2493</v>
      </c>
      <c r="V7" s="1" t="str">
        <f>HYPERLINK("http://dx.doi.org/10.1007/s12273-025-1319-6","http://dx.doi.org/10.1007/s12273-025-1319-6")</f>
        <v>http://dx.doi.org/10.1007/s12273-025-1319-6</v>
      </c>
    </row>
    <row r="8" spans="1:22" ht="13.7" x14ac:dyDescent="0.5">
      <c r="A8" s="4"/>
      <c r="B8" s="4"/>
      <c r="C8" s="1" t="s">
        <v>1552</v>
      </c>
      <c r="D8" s="1" t="s">
        <v>1553</v>
      </c>
      <c r="E8" s="1" t="s">
        <v>1554</v>
      </c>
      <c r="F8" s="1" t="s">
        <v>12</v>
      </c>
      <c r="G8" s="1" t="s">
        <v>1080</v>
      </c>
      <c r="H8" s="1" t="s">
        <v>1555</v>
      </c>
      <c r="I8" s="1" t="s">
        <v>1556</v>
      </c>
      <c r="J8" s="1" t="s">
        <v>1557</v>
      </c>
      <c r="K8" s="1" t="s">
        <v>1558</v>
      </c>
      <c r="L8" s="1" t="s">
        <v>1559</v>
      </c>
      <c r="M8" s="1" t="s">
        <v>1560</v>
      </c>
      <c r="N8" s="1" t="s">
        <v>1561</v>
      </c>
      <c r="O8" s="1" t="s">
        <v>1524</v>
      </c>
      <c r="P8" s="1">
        <v>2025</v>
      </c>
      <c r="Q8" s="1">
        <v>18</v>
      </c>
      <c r="R8" s="1">
        <v>1</v>
      </c>
      <c r="S8" s="1">
        <v>65</v>
      </c>
      <c r="T8" s="1">
        <v>85</v>
      </c>
      <c r="U8" s="1" t="s">
        <v>1562</v>
      </c>
      <c r="V8" s="1" t="str">
        <f>HYPERLINK("http://dx.doi.org/10.1007/s12273-024-1216-4","http://dx.doi.org/10.1007/s12273-024-1216-4")</f>
        <v>http://dx.doi.org/10.1007/s12273-024-1216-4</v>
      </c>
    </row>
    <row r="9" spans="1:22" x14ac:dyDescent="0.4">
      <c r="C9" s="1" t="s">
        <v>2758</v>
      </c>
      <c r="D9" s="1" t="s">
        <v>2759</v>
      </c>
      <c r="E9" s="1" t="s">
        <v>2760</v>
      </c>
      <c r="F9" s="1" t="s">
        <v>12</v>
      </c>
      <c r="G9" s="1" t="s">
        <v>262</v>
      </c>
      <c r="H9" s="1" t="s">
        <v>2761</v>
      </c>
      <c r="I9" s="1" t="s">
        <v>2762</v>
      </c>
      <c r="J9" s="1" t="s">
        <v>2763</v>
      </c>
      <c r="K9" s="1" t="s">
        <v>2764</v>
      </c>
      <c r="L9" s="1" t="s">
        <v>2765</v>
      </c>
      <c r="M9" s="1" t="s">
        <v>2766</v>
      </c>
      <c r="N9" s="1" t="s">
        <v>300</v>
      </c>
      <c r="O9" s="1" t="s">
        <v>22</v>
      </c>
      <c r="P9" s="1">
        <v>2025</v>
      </c>
      <c r="Q9" s="1">
        <v>18</v>
      </c>
      <c r="R9" s="1">
        <v>6</v>
      </c>
      <c r="S9" s="1">
        <v>1337</v>
      </c>
      <c r="T9" s="1">
        <v>1354</v>
      </c>
      <c r="U9" s="1" t="s">
        <v>2767</v>
      </c>
      <c r="V9" s="1" t="str">
        <f>HYPERLINK("http://dx.doi.org/10.1007/s12273-025-1266-2","http://dx.doi.org/10.1007/s12273-025-1266-2")</f>
        <v>http://dx.doi.org/10.1007/s12273-025-1266-2</v>
      </c>
    </row>
    <row r="10" spans="1:22" x14ac:dyDescent="0.4">
      <c r="C10" s="1" t="s">
        <v>2721</v>
      </c>
      <c r="D10" s="1" t="s">
        <v>2722</v>
      </c>
      <c r="E10" s="1" t="s">
        <v>2723</v>
      </c>
      <c r="F10" s="1" t="s">
        <v>12</v>
      </c>
      <c r="G10" s="1" t="s">
        <v>262</v>
      </c>
      <c r="H10" s="1" t="s">
        <v>2724</v>
      </c>
      <c r="I10" s="1" t="s">
        <v>2725</v>
      </c>
      <c r="J10" s="1" t="s">
        <v>2726</v>
      </c>
      <c r="K10" s="1" t="s">
        <v>2727</v>
      </c>
      <c r="L10" s="1" t="s">
        <v>2728</v>
      </c>
      <c r="M10" s="1" t="s">
        <v>2729</v>
      </c>
      <c r="N10" s="1" t="s">
        <v>2730</v>
      </c>
      <c r="O10" s="1" t="s">
        <v>19</v>
      </c>
      <c r="P10" s="1">
        <v>2025</v>
      </c>
      <c r="Q10" s="1">
        <v>18</v>
      </c>
      <c r="R10" s="1">
        <v>8</v>
      </c>
      <c r="S10" s="1">
        <v>2001</v>
      </c>
      <c r="T10" s="1">
        <v>2017</v>
      </c>
      <c r="U10" s="1" t="s">
        <v>2731</v>
      </c>
      <c r="V10" s="1" t="str">
        <f>HYPERLINK("http://dx.doi.org/10.1007/s12273-025-1302-2","http://dx.doi.org/10.1007/s12273-025-1302-2")</f>
        <v>http://dx.doi.org/10.1007/s12273-025-1302-2</v>
      </c>
    </row>
    <row r="11" spans="1:22" x14ac:dyDescent="0.4">
      <c r="C11" s="1" t="s">
        <v>2817</v>
      </c>
      <c r="D11" s="1" t="s">
        <v>2818</v>
      </c>
      <c r="E11" s="1" t="s">
        <v>2819</v>
      </c>
      <c r="F11" s="1" t="s">
        <v>12</v>
      </c>
      <c r="G11" s="1" t="s">
        <v>262</v>
      </c>
      <c r="H11" s="1" t="s">
        <v>2820</v>
      </c>
      <c r="I11" s="1" t="s">
        <v>13</v>
      </c>
      <c r="J11" s="1" t="s">
        <v>2821</v>
      </c>
      <c r="K11" s="1" t="s">
        <v>2822</v>
      </c>
      <c r="L11" s="1" t="s">
        <v>2823</v>
      </c>
      <c r="M11" s="1" t="s">
        <v>2824</v>
      </c>
      <c r="N11" s="1" t="s">
        <v>2825</v>
      </c>
      <c r="O11" s="1" t="s">
        <v>20</v>
      </c>
      <c r="P11" s="1">
        <v>2025</v>
      </c>
      <c r="Q11" s="1">
        <v>18</v>
      </c>
      <c r="R11" s="1">
        <v>7</v>
      </c>
      <c r="S11" s="1">
        <v>1717</v>
      </c>
      <c r="T11" s="1">
        <v>1726</v>
      </c>
      <c r="U11" s="1" t="s">
        <v>2826</v>
      </c>
      <c r="V11" s="1" t="str">
        <f>HYPERLINK("http://dx.doi.org/10.1007/s12273-025-1289-8","http://dx.doi.org/10.1007/s12273-025-1289-8")</f>
        <v>http://dx.doi.org/10.1007/s12273-025-1289-8</v>
      </c>
    </row>
    <row r="12" spans="1:22" x14ac:dyDescent="0.4">
      <c r="C12" s="1" t="s">
        <v>3065</v>
      </c>
      <c r="D12" s="1" t="s">
        <v>3066</v>
      </c>
      <c r="E12" s="1" t="s">
        <v>3067</v>
      </c>
      <c r="F12" s="1" t="s">
        <v>12</v>
      </c>
      <c r="G12" s="1" t="s">
        <v>262</v>
      </c>
      <c r="H12" s="1" t="s">
        <v>3068</v>
      </c>
      <c r="I12" s="1" t="s">
        <v>3069</v>
      </c>
      <c r="J12" s="1" t="s">
        <v>3070</v>
      </c>
      <c r="K12" s="1" t="s">
        <v>3071</v>
      </c>
      <c r="L12" s="1" t="s">
        <v>2947</v>
      </c>
      <c r="M12" s="1" t="s">
        <v>3072</v>
      </c>
      <c r="N12" s="1" t="s">
        <v>3073</v>
      </c>
      <c r="O12" s="1" t="s">
        <v>22</v>
      </c>
      <c r="P12" s="1">
        <v>2025</v>
      </c>
      <c r="Q12" s="1">
        <v>18</v>
      </c>
      <c r="R12" s="1">
        <v>6</v>
      </c>
      <c r="S12" s="1">
        <v>1299</v>
      </c>
      <c r="T12" s="1">
        <v>1316</v>
      </c>
      <c r="U12" s="1" t="s">
        <v>3074</v>
      </c>
      <c r="V12" s="1" t="str">
        <f>HYPERLINK("http://dx.doi.org/10.1007/s12273-025-1259-1","http://dx.doi.org/10.1007/s12273-025-1259-1")</f>
        <v>http://dx.doi.org/10.1007/s12273-025-1259-1</v>
      </c>
    </row>
    <row r="13" spans="1:22" x14ac:dyDescent="0.4">
      <c r="C13" s="1" t="s">
        <v>3326</v>
      </c>
      <c r="D13" s="1" t="s">
        <v>3327</v>
      </c>
      <c r="E13" s="1" t="s">
        <v>3328</v>
      </c>
      <c r="F13" s="1" t="s">
        <v>12</v>
      </c>
      <c r="G13" s="1" t="s">
        <v>262</v>
      </c>
      <c r="H13" s="1" t="s">
        <v>3329</v>
      </c>
      <c r="I13" s="1" t="s">
        <v>3330</v>
      </c>
      <c r="J13" s="1" t="s">
        <v>3331</v>
      </c>
      <c r="K13" s="1" t="s">
        <v>3332</v>
      </c>
      <c r="L13" s="1" t="s">
        <v>3333</v>
      </c>
      <c r="M13" s="1" t="s">
        <v>745</v>
      </c>
      <c r="N13" s="1" t="s">
        <v>746</v>
      </c>
      <c r="O13" s="1" t="s">
        <v>25</v>
      </c>
      <c r="P13" s="1">
        <v>2025</v>
      </c>
      <c r="Q13" s="1">
        <v>18</v>
      </c>
      <c r="R13" s="1">
        <v>3</v>
      </c>
      <c r="S13" s="1">
        <v>531</v>
      </c>
      <c r="T13" s="1">
        <v>546</v>
      </c>
      <c r="U13" s="1" t="s">
        <v>3334</v>
      </c>
      <c r="V13" s="1" t="str">
        <f>HYPERLINK("http://dx.doi.org/10.1007/s12273-024-1222-6","http://dx.doi.org/10.1007/s12273-024-1222-6")</f>
        <v>http://dx.doi.org/10.1007/s12273-024-1222-6</v>
      </c>
    </row>
    <row r="15" spans="1:22" x14ac:dyDescent="0.4">
      <c r="A15" s="10" t="s">
        <v>147</v>
      </c>
      <c r="B15" s="10" t="s">
        <v>148</v>
      </c>
      <c r="E15" s="10"/>
      <c r="F15" s="10"/>
    </row>
    <row r="16" spans="1:22" x14ac:dyDescent="0.4">
      <c r="C16" s="1" t="s">
        <v>420</v>
      </c>
      <c r="D16" s="1" t="s">
        <v>421</v>
      </c>
      <c r="E16" s="1" t="s">
        <v>422</v>
      </c>
      <c r="F16" s="1" t="s">
        <v>12</v>
      </c>
      <c r="G16" s="1" t="s">
        <v>262</v>
      </c>
      <c r="H16" s="1" t="s">
        <v>423</v>
      </c>
      <c r="I16" s="1" t="s">
        <v>424</v>
      </c>
      <c r="J16" s="1" t="s">
        <v>425</v>
      </c>
      <c r="K16" s="1" t="s">
        <v>426</v>
      </c>
      <c r="L16" s="1" t="s">
        <v>427</v>
      </c>
      <c r="M16" s="1" t="s">
        <v>428</v>
      </c>
      <c r="N16" s="1" t="s">
        <v>429</v>
      </c>
      <c r="O16" s="1" t="s">
        <v>23</v>
      </c>
      <c r="P16" s="1">
        <v>2024</v>
      </c>
      <c r="Q16" s="1">
        <v>17</v>
      </c>
      <c r="R16" s="1">
        <v>4</v>
      </c>
      <c r="S16" s="1">
        <v>607</v>
      </c>
      <c r="T16" s="1">
        <v>624</v>
      </c>
      <c r="U16" s="1" t="s">
        <v>430</v>
      </c>
      <c r="V16" s="1" t="str">
        <f>HYPERLINK("http://dx.doi.org/10.1007/s12273-024-1104-y","http://dx.doi.org/10.1007/s12273-024-1104-y")</f>
        <v>http://dx.doi.org/10.1007/s12273-024-1104-y</v>
      </c>
    </row>
    <row r="17" spans="3:22" x14ac:dyDescent="0.4">
      <c r="C17" s="1" t="s">
        <v>637</v>
      </c>
      <c r="D17" s="1" t="s">
        <v>638</v>
      </c>
      <c r="E17" s="1" t="s">
        <v>639</v>
      </c>
      <c r="F17" s="1" t="s">
        <v>12</v>
      </c>
      <c r="G17" s="1" t="s">
        <v>262</v>
      </c>
      <c r="H17" s="1" t="s">
        <v>640</v>
      </c>
      <c r="I17" s="1" t="s">
        <v>641</v>
      </c>
      <c r="J17" s="1" t="s">
        <v>642</v>
      </c>
      <c r="K17" s="1" t="s">
        <v>643</v>
      </c>
      <c r="L17" s="1" t="s">
        <v>644</v>
      </c>
      <c r="M17" s="1" t="s">
        <v>298</v>
      </c>
      <c r="N17" s="1" t="s">
        <v>299</v>
      </c>
      <c r="O17" s="1" t="s">
        <v>22</v>
      </c>
      <c r="P17" s="1">
        <v>2024</v>
      </c>
      <c r="Q17" s="1">
        <v>17</v>
      </c>
      <c r="R17" s="1">
        <v>6</v>
      </c>
      <c r="S17" s="1">
        <v>955</v>
      </c>
      <c r="T17" s="1">
        <v>964</v>
      </c>
      <c r="U17" s="1" t="s">
        <v>645</v>
      </c>
      <c r="V17" s="1" t="str">
        <f>HYPERLINK("http://dx.doi.org/10.1007/s12273-024-1120-y","http://dx.doi.org/10.1007/s12273-024-1120-y")</f>
        <v>http://dx.doi.org/10.1007/s12273-024-1120-y</v>
      </c>
    </row>
    <row r="18" spans="3:22" x14ac:dyDescent="0.4">
      <c r="C18" s="1" t="s">
        <v>2011</v>
      </c>
      <c r="D18" s="1" t="s">
        <v>2012</v>
      </c>
      <c r="E18" s="1" t="s">
        <v>2013</v>
      </c>
      <c r="F18" s="1" t="s">
        <v>12</v>
      </c>
      <c r="G18" s="1" t="s">
        <v>262</v>
      </c>
      <c r="H18" s="1" t="s">
        <v>2014</v>
      </c>
      <c r="I18" s="1" t="s">
        <v>11</v>
      </c>
      <c r="J18" s="1" t="s">
        <v>2015</v>
      </c>
      <c r="K18" s="1" t="s">
        <v>2016</v>
      </c>
      <c r="L18" s="1" t="s">
        <v>284</v>
      </c>
      <c r="M18" s="1" t="s">
        <v>2017</v>
      </c>
      <c r="N18" s="1" t="s">
        <v>286</v>
      </c>
      <c r="O18" s="1" t="s">
        <v>15</v>
      </c>
      <c r="P18" s="1">
        <v>2025</v>
      </c>
      <c r="Q18" s="1">
        <v>18</v>
      </c>
      <c r="R18" s="1">
        <v>10</v>
      </c>
      <c r="S18" s="1">
        <v>2757</v>
      </c>
      <c r="T18" s="1">
        <v>2776</v>
      </c>
      <c r="U18" s="1" t="s">
        <v>2018</v>
      </c>
      <c r="V18" s="1" t="str">
        <f>HYPERLINK("http://dx.doi.org/10.1007/s12273-025-1336-5","http://dx.doi.org/10.1007/s12273-025-1336-5")</f>
        <v>http://dx.doi.org/10.1007/s12273-025-1336-5</v>
      </c>
    </row>
    <row r="19" spans="3:22" x14ac:dyDescent="0.4">
      <c r="C19" s="1" t="s">
        <v>2122</v>
      </c>
      <c r="D19" s="1" t="s">
        <v>2123</v>
      </c>
      <c r="E19" s="1" t="s">
        <v>2124</v>
      </c>
      <c r="F19" s="1" t="s">
        <v>12</v>
      </c>
      <c r="G19" s="1" t="s">
        <v>262</v>
      </c>
      <c r="H19" s="1" t="s">
        <v>2125</v>
      </c>
      <c r="I19" s="1" t="s">
        <v>2126</v>
      </c>
      <c r="J19" s="1" t="s">
        <v>2127</v>
      </c>
      <c r="K19" s="1" t="s">
        <v>2128</v>
      </c>
      <c r="L19" s="1" t="s">
        <v>2129</v>
      </c>
      <c r="M19" s="1" t="s">
        <v>2130</v>
      </c>
      <c r="N19" s="1" t="s">
        <v>1631</v>
      </c>
      <c r="O19" s="1" t="s">
        <v>15</v>
      </c>
      <c r="P19" s="1">
        <v>2025</v>
      </c>
      <c r="Q19" s="1">
        <v>18</v>
      </c>
      <c r="R19" s="1">
        <v>10</v>
      </c>
      <c r="S19" s="1">
        <v>2657</v>
      </c>
      <c r="T19" s="1">
        <v>2676</v>
      </c>
      <c r="U19" s="1" t="s">
        <v>2131</v>
      </c>
      <c r="V19" s="1" t="str">
        <f>HYPERLINK("http://dx.doi.org/10.1007/s12273-025-1326-7","http://dx.doi.org/10.1007/s12273-025-1326-7")</f>
        <v>http://dx.doi.org/10.1007/s12273-025-1326-7</v>
      </c>
    </row>
    <row r="20" spans="3:22" x14ac:dyDescent="0.4">
      <c r="C20" s="1" t="s">
        <v>2507</v>
      </c>
      <c r="D20" s="1" t="s">
        <v>2508</v>
      </c>
      <c r="E20" s="1" t="s">
        <v>2509</v>
      </c>
      <c r="F20" s="1" t="s">
        <v>12</v>
      </c>
      <c r="G20" s="1" t="s">
        <v>262</v>
      </c>
      <c r="H20" s="1" t="s">
        <v>2510</v>
      </c>
      <c r="I20" s="1" t="s">
        <v>2511</v>
      </c>
      <c r="J20" s="1" t="s">
        <v>2512</v>
      </c>
      <c r="K20" s="1" t="s">
        <v>2513</v>
      </c>
      <c r="L20" s="1" t="s">
        <v>2514</v>
      </c>
      <c r="M20" s="1" t="s">
        <v>2515</v>
      </c>
      <c r="N20" s="1" t="s">
        <v>2516</v>
      </c>
      <c r="O20" s="1" t="s">
        <v>16</v>
      </c>
      <c r="P20" s="1">
        <v>2025</v>
      </c>
      <c r="Q20" s="1">
        <v>18</v>
      </c>
      <c r="R20" s="1">
        <v>9</v>
      </c>
      <c r="S20" s="1">
        <v>2227</v>
      </c>
      <c r="T20" s="1">
        <v>2249</v>
      </c>
      <c r="U20" s="1" t="s">
        <v>2517</v>
      </c>
      <c r="V20" s="1" t="str">
        <f>HYPERLINK("http://dx.doi.org/10.1007/s12273-025-1281-3","http://dx.doi.org/10.1007/s12273-025-1281-3")</f>
        <v>http://dx.doi.org/10.1007/s12273-025-1281-3</v>
      </c>
    </row>
    <row r="21" spans="3:22" x14ac:dyDescent="0.4">
      <c r="C21" s="1" t="s">
        <v>3053</v>
      </c>
      <c r="D21" s="1" t="s">
        <v>3054</v>
      </c>
      <c r="E21" s="1" t="s">
        <v>3055</v>
      </c>
      <c r="F21" s="1" t="s">
        <v>12</v>
      </c>
      <c r="G21" s="1" t="s">
        <v>262</v>
      </c>
      <c r="H21" s="1" t="s">
        <v>3056</v>
      </c>
      <c r="I21" s="1" t="s">
        <v>3057</v>
      </c>
      <c r="J21" s="1" t="s">
        <v>3058</v>
      </c>
      <c r="K21" s="1" t="s">
        <v>3059</v>
      </c>
      <c r="L21" s="1" t="s">
        <v>3060</v>
      </c>
      <c r="M21" s="1" t="s">
        <v>3061</v>
      </c>
      <c r="N21" s="1" t="s">
        <v>3062</v>
      </c>
      <c r="O21" s="1" t="s">
        <v>23</v>
      </c>
      <c r="P21" s="1">
        <v>2025</v>
      </c>
      <c r="Q21" s="1">
        <v>18</v>
      </c>
      <c r="R21" s="1">
        <v>4</v>
      </c>
      <c r="S21" s="1">
        <v>791</v>
      </c>
      <c r="T21" s="1">
        <v>827</v>
      </c>
      <c r="U21" s="1" t="s">
        <v>3063</v>
      </c>
      <c r="V21" s="1" t="str">
        <f>HYPERLINK("http://dx.doi.org/10.1007/s12273-025-1238-6","http://dx.doi.org/10.1007/s12273-025-1238-6")</f>
        <v>http://dx.doi.org/10.1007/s12273-025-1238-6</v>
      </c>
    </row>
    <row r="22" spans="3:22" x14ac:dyDescent="0.4">
      <c r="C22" s="1" t="s">
        <v>3112</v>
      </c>
      <c r="D22" s="1" t="s">
        <v>3113</v>
      </c>
      <c r="E22" s="1" t="s">
        <v>3114</v>
      </c>
      <c r="F22" s="1" t="s">
        <v>12</v>
      </c>
      <c r="G22" s="1" t="s">
        <v>262</v>
      </c>
      <c r="H22" s="1" t="s">
        <v>3115</v>
      </c>
      <c r="I22" s="1" t="s">
        <v>3116</v>
      </c>
      <c r="J22" s="1" t="s">
        <v>3117</v>
      </c>
      <c r="K22" s="1" t="s">
        <v>3118</v>
      </c>
      <c r="L22" s="1" t="s">
        <v>3119</v>
      </c>
      <c r="M22" s="1" t="s">
        <v>3120</v>
      </c>
      <c r="N22" s="1" t="s">
        <v>3121</v>
      </c>
      <c r="O22" s="1" t="s">
        <v>21</v>
      </c>
      <c r="P22" s="1">
        <v>2025</v>
      </c>
      <c r="Q22" s="1">
        <v>18</v>
      </c>
      <c r="R22" s="1">
        <v>5</v>
      </c>
      <c r="S22" s="1">
        <v>1087</v>
      </c>
      <c r="T22" s="1">
        <v>1101</v>
      </c>
      <c r="U22" s="1" t="s">
        <v>3122</v>
      </c>
      <c r="V22" s="1" t="str">
        <f>HYPERLINK("http://dx.doi.org/10.1007/s12273-025-1252-8","http://dx.doi.org/10.1007/s12273-025-1252-8")</f>
        <v>http://dx.doi.org/10.1007/s12273-025-1252-8</v>
      </c>
    </row>
    <row r="23" spans="3:22" x14ac:dyDescent="0.4">
      <c r="C23" s="1" t="s">
        <v>1552</v>
      </c>
      <c r="D23" s="1" t="s">
        <v>1553</v>
      </c>
      <c r="E23" s="1" t="s">
        <v>1554</v>
      </c>
      <c r="F23" s="1" t="s">
        <v>12</v>
      </c>
      <c r="G23" s="1" t="s">
        <v>262</v>
      </c>
      <c r="H23" s="1" t="s">
        <v>1555</v>
      </c>
      <c r="I23" s="1" t="s">
        <v>1556</v>
      </c>
      <c r="J23" s="1" t="s">
        <v>1557</v>
      </c>
      <c r="K23" s="1" t="s">
        <v>1558</v>
      </c>
      <c r="L23" s="1" t="s">
        <v>1559</v>
      </c>
      <c r="M23" s="1" t="s">
        <v>1560</v>
      </c>
      <c r="N23" s="1" t="s">
        <v>1561</v>
      </c>
      <c r="O23" s="1" t="s">
        <v>24</v>
      </c>
      <c r="P23" s="1">
        <v>2025</v>
      </c>
      <c r="Q23" s="1">
        <v>18</v>
      </c>
      <c r="R23" s="1">
        <v>1</v>
      </c>
      <c r="S23" s="1">
        <v>65</v>
      </c>
      <c r="T23" s="1">
        <v>85</v>
      </c>
      <c r="U23" s="1" t="s">
        <v>1562</v>
      </c>
      <c r="V23" s="1" t="str">
        <f>HYPERLINK("http://dx.doi.org/10.1007/s12273-024-1216-4","http://dx.doi.org/10.1007/s12273-024-1216-4")</f>
        <v>http://dx.doi.org/10.1007/s12273-024-1216-4</v>
      </c>
    </row>
  </sheetData>
  <phoneticPr fontId="2" type="noConversion"/>
  <conditionalFormatting sqref="U1">
    <cfRule type="duplicateValues" dxfId="89" priority="7" stopIfTrue="1"/>
  </conditionalFormatting>
  <conditionalFormatting sqref="U3">
    <cfRule type="duplicateValues" dxfId="88" priority="6" stopIfTrue="1"/>
  </conditionalFormatting>
  <conditionalFormatting sqref="U4">
    <cfRule type="duplicateValues" dxfId="87" priority="5" stopIfTrue="1"/>
  </conditionalFormatting>
  <conditionalFormatting sqref="U5">
    <cfRule type="duplicateValues" dxfId="86" priority="4" stopIfTrue="1"/>
  </conditionalFormatting>
  <conditionalFormatting sqref="U6">
    <cfRule type="duplicateValues" dxfId="85" priority="9" stopIfTrue="1"/>
  </conditionalFormatting>
  <conditionalFormatting sqref="U7">
    <cfRule type="duplicateValues" dxfId="84" priority="3" stopIfTrue="1"/>
  </conditionalFormatting>
  <conditionalFormatting sqref="U8">
    <cfRule type="duplicateValues" dxfId="83" priority="8" stopIfTrue="1"/>
  </conditionalFormatting>
  <conditionalFormatting sqref="U9">
    <cfRule type="duplicateValues" dxfId="82" priority="2" stopIfTrue="1"/>
  </conditionalFormatting>
  <conditionalFormatting sqref="U14">
    <cfRule type="duplicateValues" dxfId="81" priority="1" stopIfTrue="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
  <sheetViews>
    <sheetView workbookViewId="0"/>
  </sheetViews>
  <sheetFormatPr defaultColWidth="9.1171875" defaultRowHeight="12.7" x14ac:dyDescent="0.4"/>
  <cols>
    <col min="1" max="1" width="15.29296875" style="1" customWidth="1"/>
    <col min="2" max="2" width="17.41015625" style="1" customWidth="1"/>
    <col min="3" max="3" width="17.87890625" style="1" bestFit="1" customWidth="1"/>
    <col min="4" max="4" width="33.41015625" style="1" bestFit="1" customWidth="1"/>
    <col min="5" max="5" width="17.87890625" style="1" bestFit="1" customWidth="1"/>
    <col min="6" max="6" width="33.41015625" style="1" bestFit="1" customWidth="1"/>
    <col min="7" max="16384" width="9.1171875" style="1"/>
  </cols>
  <sheetData>
    <row r="1" spans="1:22" s="9" customFormat="1" ht="38" x14ac:dyDescent="0.4">
      <c r="C1" s="16" t="s">
        <v>162</v>
      </c>
      <c r="D1" s="16" t="s">
        <v>0</v>
      </c>
      <c r="E1" s="16" t="s">
        <v>161</v>
      </c>
      <c r="F1" s="16" t="s">
        <v>1</v>
      </c>
      <c r="G1" s="16" t="s">
        <v>255</v>
      </c>
      <c r="H1" s="16" t="s">
        <v>163</v>
      </c>
      <c r="I1" s="16" t="s">
        <v>254</v>
      </c>
      <c r="J1" s="16" t="s">
        <v>164</v>
      </c>
      <c r="K1" s="16" t="s">
        <v>256</v>
      </c>
      <c r="L1" s="16" t="s">
        <v>257</v>
      </c>
      <c r="M1" s="16" t="s">
        <v>258</v>
      </c>
      <c r="N1" s="16" t="s">
        <v>259</v>
      </c>
      <c r="O1" s="16" t="s">
        <v>2</v>
      </c>
      <c r="P1" s="16" t="s">
        <v>3</v>
      </c>
      <c r="Q1" s="16" t="s">
        <v>4</v>
      </c>
      <c r="R1" s="16" t="s">
        <v>5</v>
      </c>
      <c r="S1" s="16" t="s">
        <v>6</v>
      </c>
      <c r="T1" s="16" t="s">
        <v>7</v>
      </c>
      <c r="U1" s="16" t="s">
        <v>8</v>
      </c>
      <c r="V1" s="16" t="s">
        <v>9</v>
      </c>
    </row>
    <row r="2" spans="1:22" ht="13.7" x14ac:dyDescent="0.5">
      <c r="A2" s="4" t="s">
        <v>150</v>
      </c>
      <c r="B2" s="10" t="s">
        <v>151</v>
      </c>
      <c r="E2" s="4"/>
      <c r="F2" s="10"/>
    </row>
    <row r="3" spans="1:22" x14ac:dyDescent="0.4">
      <c r="C3" s="1" t="s">
        <v>1228</v>
      </c>
      <c r="D3" s="1" t="s">
        <v>1229</v>
      </c>
      <c r="E3" s="1" t="s">
        <v>1230</v>
      </c>
      <c r="F3" s="1" t="s">
        <v>12</v>
      </c>
      <c r="G3" s="1" t="s">
        <v>273</v>
      </c>
      <c r="H3" s="1" t="s">
        <v>1231</v>
      </c>
      <c r="I3" s="1" t="s">
        <v>1232</v>
      </c>
      <c r="J3" s="1" t="s">
        <v>1233</v>
      </c>
      <c r="K3" s="1" t="s">
        <v>1234</v>
      </c>
      <c r="L3" s="1" t="s">
        <v>287</v>
      </c>
      <c r="M3" s="1" t="s">
        <v>288</v>
      </c>
      <c r="N3" s="1" t="s">
        <v>289</v>
      </c>
      <c r="O3" s="1" t="s">
        <v>14</v>
      </c>
      <c r="P3" s="1">
        <v>2024</v>
      </c>
      <c r="Q3" s="1">
        <v>17</v>
      </c>
      <c r="R3" s="1">
        <v>11</v>
      </c>
      <c r="S3" s="1">
        <v>1909</v>
      </c>
      <c r="T3" s="1">
        <v>1932</v>
      </c>
      <c r="U3" s="1" t="s">
        <v>1235</v>
      </c>
      <c r="V3" s="1" t="str">
        <f>HYPERLINK("http://dx.doi.org/10.1007/s12273-024-1209-3","http://dx.doi.org/10.1007/s12273-024-1209-3")</f>
        <v>http://dx.doi.org/10.1007/s12273-024-1209-3</v>
      </c>
    </row>
    <row r="4" spans="1:22" ht="13.7" x14ac:dyDescent="0.4">
      <c r="A4" s="2"/>
      <c r="B4" s="2"/>
      <c r="C4" s="1" t="s">
        <v>1963</v>
      </c>
      <c r="D4" s="1" t="s">
        <v>1964</v>
      </c>
      <c r="E4" s="1" t="s">
        <v>1965</v>
      </c>
      <c r="F4" s="1" t="s">
        <v>12</v>
      </c>
      <c r="G4" s="1" t="s">
        <v>262</v>
      </c>
      <c r="H4" s="1" t="s">
        <v>1966</v>
      </c>
      <c r="I4" s="1" t="s">
        <v>1967</v>
      </c>
      <c r="J4" s="1" t="s">
        <v>1968</v>
      </c>
      <c r="K4" s="1" t="s">
        <v>1969</v>
      </c>
      <c r="L4" s="1" t="s">
        <v>263</v>
      </c>
      <c r="M4" s="1" t="s">
        <v>1970</v>
      </c>
      <c r="N4" s="1" t="s">
        <v>1971</v>
      </c>
      <c r="O4" s="1" t="s">
        <v>14</v>
      </c>
      <c r="P4" s="1">
        <v>2025</v>
      </c>
      <c r="Q4" s="1">
        <v>18</v>
      </c>
      <c r="R4" s="1">
        <v>11</v>
      </c>
      <c r="S4" s="1">
        <v>2899</v>
      </c>
      <c r="T4" s="1">
        <v>2921</v>
      </c>
      <c r="U4" s="1" t="s">
        <v>1972</v>
      </c>
      <c r="V4" s="1" t="str">
        <f>HYPERLINK("http://dx.doi.org/10.1007/s12273-025-1343-6","http://dx.doi.org/10.1007/s12273-025-1343-6")</f>
        <v>http://dx.doi.org/10.1007/s12273-025-1343-6</v>
      </c>
    </row>
    <row r="5" spans="1:22" ht="13.7" x14ac:dyDescent="0.5">
      <c r="A5" s="4"/>
      <c r="B5" s="4"/>
      <c r="C5" s="1" t="s">
        <v>2601</v>
      </c>
      <c r="D5" s="1" t="s">
        <v>2602</v>
      </c>
      <c r="E5" s="1" t="s">
        <v>2603</v>
      </c>
      <c r="F5" s="1" t="s">
        <v>12</v>
      </c>
      <c r="G5" s="1" t="s">
        <v>262</v>
      </c>
      <c r="H5" s="1" t="s">
        <v>2604</v>
      </c>
      <c r="I5" s="1" t="s">
        <v>2605</v>
      </c>
      <c r="J5" s="1" t="s">
        <v>2606</v>
      </c>
      <c r="K5" s="1" t="s">
        <v>2607</v>
      </c>
      <c r="L5" s="1" t="s">
        <v>2608</v>
      </c>
      <c r="M5" s="1" t="s">
        <v>2609</v>
      </c>
      <c r="N5" s="1" t="s">
        <v>2610</v>
      </c>
      <c r="O5" s="1" t="s">
        <v>20</v>
      </c>
      <c r="P5" s="1">
        <v>2025</v>
      </c>
      <c r="Q5" s="1">
        <v>18</v>
      </c>
      <c r="R5" s="1">
        <v>7</v>
      </c>
      <c r="S5" s="1">
        <v>1677</v>
      </c>
      <c r="T5" s="1">
        <v>1696</v>
      </c>
      <c r="U5" s="1" t="s">
        <v>2611</v>
      </c>
      <c r="V5" s="1" t="str">
        <f>HYPERLINK("http://dx.doi.org/10.1007/s12273-025-1280-4","http://dx.doi.org/10.1007/s12273-025-1280-4")</f>
        <v>http://dx.doi.org/10.1007/s12273-025-1280-4</v>
      </c>
    </row>
    <row r="6" spans="1:22" x14ac:dyDescent="0.4">
      <c r="C6" s="1" t="s">
        <v>3187</v>
      </c>
      <c r="D6" s="1" t="s">
        <v>3188</v>
      </c>
      <c r="E6" s="1" t="s">
        <v>3189</v>
      </c>
      <c r="F6" s="1" t="s">
        <v>12</v>
      </c>
      <c r="G6" s="1" t="s">
        <v>262</v>
      </c>
      <c r="H6" s="1" t="s">
        <v>3190</v>
      </c>
      <c r="I6" s="1" t="s">
        <v>3191</v>
      </c>
      <c r="J6" s="1" t="s">
        <v>3192</v>
      </c>
      <c r="K6" s="1" t="s">
        <v>3193</v>
      </c>
      <c r="L6" s="1" t="s">
        <v>3194</v>
      </c>
      <c r="M6" s="1" t="s">
        <v>3195</v>
      </c>
      <c r="N6" s="1" t="s">
        <v>3196</v>
      </c>
      <c r="O6" s="1" t="s">
        <v>23</v>
      </c>
      <c r="P6" s="1">
        <v>2025</v>
      </c>
      <c r="Q6" s="1">
        <v>18</v>
      </c>
      <c r="R6" s="1">
        <v>4</v>
      </c>
      <c r="S6" s="1">
        <v>747</v>
      </c>
      <c r="T6" s="1">
        <v>763</v>
      </c>
      <c r="U6" s="1" t="s">
        <v>3197</v>
      </c>
      <c r="V6" s="1" t="str">
        <f>HYPERLINK("http://dx.doi.org/10.1007/s12273-025-1241-y","http://dx.doi.org/10.1007/s12273-025-1241-y")</f>
        <v>http://dx.doi.org/10.1007/s12273-025-1241-y</v>
      </c>
    </row>
    <row r="7" spans="1:22" x14ac:dyDescent="0.4">
      <c r="C7" s="1" t="s">
        <v>3415</v>
      </c>
      <c r="D7" s="1" t="s">
        <v>3416</v>
      </c>
      <c r="E7" s="1" t="s">
        <v>3417</v>
      </c>
      <c r="F7" s="1" t="s">
        <v>12</v>
      </c>
      <c r="G7" s="1" t="s">
        <v>262</v>
      </c>
      <c r="H7" s="1" t="s">
        <v>3418</v>
      </c>
      <c r="I7" s="1" t="s">
        <v>3419</v>
      </c>
      <c r="J7" s="1" t="s">
        <v>3420</v>
      </c>
      <c r="K7" s="1" t="s">
        <v>3421</v>
      </c>
      <c r="L7" s="1" t="s">
        <v>282</v>
      </c>
      <c r="M7" s="1" t="s">
        <v>3422</v>
      </c>
      <c r="N7" s="1" t="s">
        <v>3423</v>
      </c>
      <c r="O7" s="1" t="s">
        <v>26</v>
      </c>
      <c r="P7" s="1">
        <v>2025</v>
      </c>
      <c r="Q7" s="1">
        <v>18</v>
      </c>
      <c r="R7" s="1">
        <v>2</v>
      </c>
      <c r="S7" s="1">
        <v>403</v>
      </c>
      <c r="T7" s="1">
        <v>421</v>
      </c>
      <c r="U7" s="1" t="s">
        <v>3424</v>
      </c>
      <c r="V7" s="1" t="str">
        <f>HYPERLINK("http://dx.doi.org/10.1007/s12273-024-1221-7","http://dx.doi.org/10.1007/s12273-024-1221-7")</f>
        <v>http://dx.doi.org/10.1007/s12273-024-1221-7</v>
      </c>
    </row>
    <row r="8" spans="1:22" x14ac:dyDescent="0.4">
      <c r="C8" s="1" t="s">
        <v>1634</v>
      </c>
      <c r="D8" s="1" t="s">
        <v>1635</v>
      </c>
      <c r="E8" s="1" t="s">
        <v>1636</v>
      </c>
      <c r="F8" s="1" t="s">
        <v>12</v>
      </c>
      <c r="G8" s="1" t="s">
        <v>262</v>
      </c>
      <c r="H8" s="1" t="s">
        <v>1637</v>
      </c>
      <c r="I8" s="1" t="s">
        <v>1638</v>
      </c>
      <c r="J8" s="1" t="s">
        <v>1639</v>
      </c>
      <c r="K8" s="1" t="s">
        <v>1640</v>
      </c>
      <c r="L8" s="1" t="s">
        <v>1641</v>
      </c>
      <c r="M8" s="1" t="s">
        <v>1177</v>
      </c>
      <c r="N8" s="1" t="s">
        <v>1178</v>
      </c>
      <c r="O8" s="1" t="s">
        <v>24</v>
      </c>
      <c r="P8" s="1">
        <v>2025</v>
      </c>
      <c r="Q8" s="1">
        <v>18</v>
      </c>
      <c r="R8" s="1">
        <v>1</v>
      </c>
      <c r="S8" s="1">
        <v>207</v>
      </c>
      <c r="T8" s="1">
        <v>223</v>
      </c>
      <c r="U8" s="1" t="s">
        <v>1642</v>
      </c>
      <c r="V8" s="1" t="str">
        <f>HYPERLINK("http://dx.doi.org/10.1007/s12273-024-1211-9","http://dx.doi.org/10.1007/s12273-024-1211-9")</f>
        <v>http://dx.doi.org/10.1007/s12273-024-1211-9</v>
      </c>
    </row>
    <row r="9" spans="1:22" x14ac:dyDescent="0.4">
      <c r="C9" s="1" t="s">
        <v>1528</v>
      </c>
      <c r="D9" s="1" t="s">
        <v>1529</v>
      </c>
      <c r="E9" s="1" t="s">
        <v>1530</v>
      </c>
      <c r="F9" s="1" t="s">
        <v>12</v>
      </c>
      <c r="G9" s="1" t="s">
        <v>262</v>
      </c>
      <c r="H9" s="1" t="s">
        <v>1531</v>
      </c>
      <c r="I9" s="1" t="s">
        <v>3449</v>
      </c>
      <c r="J9" s="1" t="s">
        <v>1533</v>
      </c>
      <c r="K9" s="1" t="s">
        <v>1534</v>
      </c>
      <c r="L9" s="1" t="s">
        <v>1535</v>
      </c>
      <c r="M9" s="1" t="s">
        <v>1536</v>
      </c>
      <c r="N9" s="1" t="s">
        <v>1537</v>
      </c>
      <c r="O9" s="1" t="s">
        <v>24</v>
      </c>
      <c r="P9" s="1">
        <v>2025</v>
      </c>
      <c r="Q9" s="1">
        <v>18</v>
      </c>
      <c r="R9" s="1">
        <v>1</v>
      </c>
      <c r="S9" s="1">
        <v>33</v>
      </c>
      <c r="T9" s="1">
        <v>46</v>
      </c>
      <c r="U9" s="1" t="s">
        <v>1538</v>
      </c>
      <c r="V9" s="1" t="str">
        <f>HYPERLINK("http://dx.doi.org/10.1007/s12273-024-1207-5","http://dx.doi.org/10.1007/s12273-024-1207-5")</f>
        <v>http://dx.doi.org/10.1007/s12273-024-1207-5</v>
      </c>
    </row>
    <row r="11" spans="1:22" x14ac:dyDescent="0.4">
      <c r="A11" s="10" t="s">
        <v>152</v>
      </c>
      <c r="B11" s="10" t="s">
        <v>153</v>
      </c>
      <c r="E11" s="10"/>
      <c r="F11" s="10"/>
    </row>
    <row r="12" spans="1:22" x14ac:dyDescent="0.4">
      <c r="C12" s="1" t="s">
        <v>1975</v>
      </c>
      <c r="D12" s="1" t="s">
        <v>1976</v>
      </c>
      <c r="E12" s="1" t="s">
        <v>1977</v>
      </c>
      <c r="F12" s="1" t="s">
        <v>12</v>
      </c>
      <c r="G12" s="1" t="s">
        <v>262</v>
      </c>
      <c r="H12" s="1" t="s">
        <v>1978</v>
      </c>
      <c r="I12" s="1" t="s">
        <v>1979</v>
      </c>
      <c r="J12" s="1" t="s">
        <v>1980</v>
      </c>
      <c r="K12" s="1" t="s">
        <v>1981</v>
      </c>
      <c r="L12" s="1" t="s">
        <v>1982</v>
      </c>
      <c r="M12" s="1" t="s">
        <v>1983</v>
      </c>
      <c r="N12" s="1" t="s">
        <v>1984</v>
      </c>
      <c r="O12" s="1" t="s">
        <v>14</v>
      </c>
      <c r="P12" s="1">
        <v>2025</v>
      </c>
      <c r="Q12" s="1">
        <v>18</v>
      </c>
      <c r="R12" s="1">
        <v>11</v>
      </c>
      <c r="S12" s="1">
        <v>2923</v>
      </c>
      <c r="T12" s="1">
        <v>2944</v>
      </c>
      <c r="U12" s="1" t="s">
        <v>1985</v>
      </c>
      <c r="V12" s="1" t="str">
        <f>HYPERLINK("http://dx.doi.org/10.1007/s12273-025-1345-4","http://dx.doi.org/10.1007/s12273-025-1345-4")</f>
        <v>http://dx.doi.org/10.1007/s12273-025-1345-4</v>
      </c>
    </row>
    <row r="13" spans="1:22" ht="13.7" x14ac:dyDescent="0.5">
      <c r="A13" s="4" t="s">
        <v>3589</v>
      </c>
      <c r="B13" s="4" t="s">
        <v>1783</v>
      </c>
    </row>
    <row r="14" spans="1:22" ht="13.7" x14ac:dyDescent="0.5">
      <c r="A14" s="4"/>
      <c r="B14" s="4"/>
      <c r="C14" s="1" t="s">
        <v>1528</v>
      </c>
      <c r="D14" s="1" t="s">
        <v>1529</v>
      </c>
      <c r="E14" s="1" t="s">
        <v>1782</v>
      </c>
      <c r="F14" s="1" t="s">
        <v>12</v>
      </c>
      <c r="G14" s="1" t="s">
        <v>1080</v>
      </c>
      <c r="H14" s="1" t="s">
        <v>1531</v>
      </c>
      <c r="I14" s="1" t="s">
        <v>1532</v>
      </c>
      <c r="J14" s="1" t="s">
        <v>1533</v>
      </c>
      <c r="K14" s="1" t="s">
        <v>1534</v>
      </c>
      <c r="L14" s="1" t="s">
        <v>1535</v>
      </c>
      <c r="M14" s="1" t="s">
        <v>1536</v>
      </c>
      <c r="N14" s="1" t="s">
        <v>1537</v>
      </c>
      <c r="O14" s="1" t="s">
        <v>1524</v>
      </c>
      <c r="P14" s="1">
        <v>2025</v>
      </c>
      <c r="Q14" s="1">
        <v>18</v>
      </c>
      <c r="R14" s="1">
        <v>1</v>
      </c>
      <c r="S14" s="1">
        <v>33</v>
      </c>
      <c r="T14" s="1">
        <v>46</v>
      </c>
      <c r="U14" s="1" t="s">
        <v>1538</v>
      </c>
      <c r="V14" s="1" t="str">
        <f>HYPERLINK("http://dx.doi.org/10.1007/s12273-024-1207-5","http://dx.doi.org/10.1007/s12273-024-1207-5")</f>
        <v>http://dx.doi.org/10.1007/s12273-024-1207-5</v>
      </c>
    </row>
    <row r="15" spans="1:22" ht="13.7" x14ac:dyDescent="0.5">
      <c r="A15" s="4"/>
      <c r="B15" s="4"/>
    </row>
  </sheetData>
  <phoneticPr fontId="2" type="noConversion"/>
  <conditionalFormatting sqref="U1">
    <cfRule type="duplicateValues" dxfId="80" priority="8" stopIfTrue="1"/>
  </conditionalFormatting>
  <conditionalFormatting sqref="U3">
    <cfRule type="duplicateValues" dxfId="79" priority="10" stopIfTrue="1"/>
  </conditionalFormatting>
  <conditionalFormatting sqref="U4">
    <cfRule type="duplicateValues" dxfId="78" priority="7" stopIfTrue="1"/>
  </conditionalFormatting>
  <conditionalFormatting sqref="U5">
    <cfRule type="duplicateValues" dxfId="77" priority="6" stopIfTrue="1"/>
  </conditionalFormatting>
  <conditionalFormatting sqref="U6">
    <cfRule type="duplicateValues" dxfId="76" priority="4" stopIfTrue="1"/>
  </conditionalFormatting>
  <conditionalFormatting sqref="U7">
    <cfRule type="duplicateValues" dxfId="75" priority="3" stopIfTrue="1"/>
  </conditionalFormatting>
  <conditionalFormatting sqref="U8">
    <cfRule type="duplicateValues" dxfId="74" priority="2" stopIfTrue="1"/>
  </conditionalFormatting>
  <conditionalFormatting sqref="U9:U10">
    <cfRule type="duplicateValues" dxfId="73" priority="1" stopIfTrue="1"/>
  </conditionalFormatting>
  <conditionalFormatting sqref="U14">
    <cfRule type="duplicateValues" dxfId="72" priority="9" stopIfTrue="1"/>
  </conditionalFormatting>
  <conditionalFormatting sqref="U17">
    <cfRule type="duplicateValues" dxfId="71" priority="5" stopIfTrue="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1"/>
  <sheetViews>
    <sheetView workbookViewId="0">
      <selection activeCell="D17" sqref="D17"/>
    </sheetView>
  </sheetViews>
  <sheetFormatPr defaultColWidth="9.1171875" defaultRowHeight="12.7" x14ac:dyDescent="0.4"/>
  <cols>
    <col min="1" max="1" width="15.29296875" style="1" customWidth="1"/>
    <col min="2" max="2" width="17.41015625" style="1" customWidth="1"/>
    <col min="3" max="16384" width="9.1171875" style="1"/>
  </cols>
  <sheetData>
    <row r="1" spans="1:22" s="9" customFormat="1" ht="38" x14ac:dyDescent="0.4">
      <c r="C1" s="16" t="s">
        <v>162</v>
      </c>
      <c r="D1" s="16" t="s">
        <v>0</v>
      </c>
      <c r="E1" s="16" t="s">
        <v>161</v>
      </c>
      <c r="F1" s="16" t="s">
        <v>1</v>
      </c>
      <c r="G1" s="16" t="s">
        <v>255</v>
      </c>
      <c r="H1" s="16" t="s">
        <v>163</v>
      </c>
      <c r="I1" s="16" t="s">
        <v>254</v>
      </c>
      <c r="J1" s="16" t="s">
        <v>164</v>
      </c>
      <c r="K1" s="16" t="s">
        <v>256</v>
      </c>
      <c r="L1" s="16" t="s">
        <v>257</v>
      </c>
      <c r="M1" s="16" t="s">
        <v>258</v>
      </c>
      <c r="N1" s="16" t="s">
        <v>259</v>
      </c>
      <c r="O1" s="16" t="s">
        <v>2</v>
      </c>
      <c r="P1" s="16" t="s">
        <v>3</v>
      </c>
      <c r="Q1" s="16" t="s">
        <v>4</v>
      </c>
      <c r="R1" s="16" t="s">
        <v>5</v>
      </c>
      <c r="S1" s="16" t="s">
        <v>6</v>
      </c>
      <c r="T1" s="16" t="s">
        <v>7</v>
      </c>
      <c r="U1" s="16" t="s">
        <v>8</v>
      </c>
      <c r="V1" s="16" t="s">
        <v>9</v>
      </c>
    </row>
    <row r="2" spans="1:22" ht="13.7" x14ac:dyDescent="0.5">
      <c r="A2" s="4" t="s">
        <v>155</v>
      </c>
      <c r="B2" s="10"/>
    </row>
    <row r="3" spans="1:22" x14ac:dyDescent="0.4">
      <c r="A3" s="10"/>
      <c r="B3" s="10"/>
      <c r="C3" s="1" t="s">
        <v>1915</v>
      </c>
      <c r="D3" s="1" t="s">
        <v>1916</v>
      </c>
      <c r="E3" s="1" t="s">
        <v>1917</v>
      </c>
      <c r="F3" s="1" t="s">
        <v>12</v>
      </c>
      <c r="G3" s="1" t="s">
        <v>262</v>
      </c>
      <c r="H3" s="1" t="s">
        <v>1918</v>
      </c>
      <c r="I3" s="1" t="s">
        <v>1919</v>
      </c>
      <c r="J3" s="1" t="s">
        <v>1920</v>
      </c>
      <c r="K3" s="1" t="s">
        <v>1921</v>
      </c>
      <c r="L3" s="1" t="s">
        <v>1922</v>
      </c>
      <c r="M3" s="1" t="s">
        <v>1923</v>
      </c>
      <c r="N3" s="1" t="s">
        <v>1924</v>
      </c>
      <c r="O3" s="1" t="s">
        <v>14</v>
      </c>
      <c r="P3" s="1">
        <v>2025</v>
      </c>
      <c r="Q3" s="1">
        <v>18</v>
      </c>
      <c r="R3" s="1">
        <v>11</v>
      </c>
      <c r="S3" s="1">
        <v>2963</v>
      </c>
      <c r="T3" s="1">
        <v>2983</v>
      </c>
      <c r="U3" s="1" t="s">
        <v>1925</v>
      </c>
      <c r="V3" s="1" t="str">
        <f>HYPERLINK("http://dx.doi.org/10.1007/s12273-025-1353-4","http://dx.doi.org/10.1007/s12273-025-1353-4")</f>
        <v>http://dx.doi.org/10.1007/s12273-025-1353-4</v>
      </c>
    </row>
    <row r="4" spans="1:22" x14ac:dyDescent="0.4">
      <c r="C4" s="1" t="s">
        <v>2301</v>
      </c>
      <c r="D4" s="1" t="s">
        <v>2302</v>
      </c>
      <c r="E4" s="1" t="s">
        <v>2303</v>
      </c>
      <c r="F4" s="1" t="s">
        <v>12</v>
      </c>
      <c r="G4" s="1" t="s">
        <v>262</v>
      </c>
      <c r="H4" s="1" t="s">
        <v>2304</v>
      </c>
      <c r="I4" s="1" t="s">
        <v>2305</v>
      </c>
      <c r="J4" s="1" t="s">
        <v>2306</v>
      </c>
      <c r="K4" s="1" t="s">
        <v>2307</v>
      </c>
      <c r="L4" s="1" t="s">
        <v>2308</v>
      </c>
      <c r="M4" s="1" t="s">
        <v>2309</v>
      </c>
      <c r="N4" s="1" t="s">
        <v>2310</v>
      </c>
      <c r="O4" s="1" t="s">
        <v>16</v>
      </c>
      <c r="P4" s="1">
        <v>2025</v>
      </c>
      <c r="Q4" s="1">
        <v>18</v>
      </c>
      <c r="R4" s="1">
        <v>9</v>
      </c>
      <c r="S4" s="1">
        <v>2365</v>
      </c>
      <c r="T4" s="1">
        <v>2380</v>
      </c>
      <c r="U4" s="1" t="s">
        <v>2311</v>
      </c>
      <c r="V4" s="1" t="str">
        <f>HYPERLINK("http://dx.doi.org/10.1007/s12273-025-1328-5","http://dx.doi.org/10.1007/s12273-025-1328-5")</f>
        <v>http://dx.doi.org/10.1007/s12273-025-1328-5</v>
      </c>
    </row>
    <row r="5" spans="1:22" x14ac:dyDescent="0.4">
      <c r="C5" s="1" t="s">
        <v>2577</v>
      </c>
      <c r="D5" s="1" t="s">
        <v>2578</v>
      </c>
      <c r="E5" s="1" t="s">
        <v>2579</v>
      </c>
      <c r="F5" s="1" t="s">
        <v>12</v>
      </c>
      <c r="G5" s="1" t="s">
        <v>262</v>
      </c>
      <c r="H5" s="1" t="s">
        <v>2580</v>
      </c>
      <c r="I5" s="1" t="s">
        <v>2581</v>
      </c>
      <c r="J5" s="1" t="s">
        <v>2582</v>
      </c>
      <c r="K5" s="1" t="s">
        <v>2583</v>
      </c>
      <c r="L5" s="1" t="s">
        <v>974</v>
      </c>
      <c r="M5" s="1" t="s">
        <v>2584</v>
      </c>
      <c r="N5" s="1" t="s">
        <v>2585</v>
      </c>
      <c r="O5" s="1" t="s">
        <v>16</v>
      </c>
      <c r="P5" s="1">
        <v>2025</v>
      </c>
      <c r="Q5" s="1">
        <v>18</v>
      </c>
      <c r="R5" s="1">
        <v>9</v>
      </c>
      <c r="S5" s="1">
        <v>2275</v>
      </c>
      <c r="T5" s="1">
        <v>2291</v>
      </c>
      <c r="U5" s="1" t="s">
        <v>2586</v>
      </c>
      <c r="V5" s="1" t="str">
        <f>HYPERLINK("http://dx.doi.org/10.1007/s12273-025-1311-1","http://dx.doi.org/10.1007/s12273-025-1311-1")</f>
        <v>http://dx.doi.org/10.1007/s12273-025-1311-1</v>
      </c>
    </row>
    <row r="6" spans="1:22" x14ac:dyDescent="0.4">
      <c r="C6" s="1" t="s">
        <v>2733</v>
      </c>
      <c r="D6" s="1" t="s">
        <v>2734</v>
      </c>
      <c r="E6" s="1" t="s">
        <v>2735</v>
      </c>
      <c r="F6" s="1" t="s">
        <v>12</v>
      </c>
      <c r="G6" s="1" t="s">
        <v>262</v>
      </c>
      <c r="H6" s="1" t="s">
        <v>2736</v>
      </c>
      <c r="I6" s="1" t="s">
        <v>2737</v>
      </c>
      <c r="J6" s="1" t="s">
        <v>2738</v>
      </c>
      <c r="K6" s="1" t="s">
        <v>2739</v>
      </c>
      <c r="L6" s="1" t="s">
        <v>2740</v>
      </c>
      <c r="M6" s="1" t="s">
        <v>2741</v>
      </c>
      <c r="N6" s="1" t="s">
        <v>2742</v>
      </c>
      <c r="O6" s="1" t="s">
        <v>22</v>
      </c>
      <c r="P6" s="1">
        <v>2025</v>
      </c>
      <c r="Q6" s="1">
        <v>18</v>
      </c>
      <c r="R6" s="1">
        <v>6</v>
      </c>
      <c r="S6" s="1">
        <v>1275</v>
      </c>
      <c r="T6" s="1">
        <v>1298</v>
      </c>
      <c r="U6" s="1" t="s">
        <v>2743</v>
      </c>
      <c r="V6" s="1" t="str">
        <f>HYPERLINK("http://dx.doi.org/10.1007/s12273-025-1256-4","http://dx.doi.org/10.1007/s12273-025-1256-4")</f>
        <v>http://dx.doi.org/10.1007/s12273-025-1256-4</v>
      </c>
    </row>
    <row r="7" spans="1:22" x14ac:dyDescent="0.4">
      <c r="A7" s="10"/>
      <c r="B7" s="10"/>
      <c r="C7" s="1" t="s">
        <v>2817</v>
      </c>
      <c r="D7" s="1" t="s">
        <v>2818</v>
      </c>
      <c r="E7" s="1" t="s">
        <v>2819</v>
      </c>
      <c r="F7" s="1" t="s">
        <v>12</v>
      </c>
      <c r="G7" s="1" t="s">
        <v>262</v>
      </c>
      <c r="H7" s="1" t="s">
        <v>2820</v>
      </c>
      <c r="I7" s="1" t="s">
        <v>13</v>
      </c>
      <c r="J7" s="1" t="s">
        <v>2821</v>
      </c>
      <c r="K7" s="1" t="s">
        <v>2822</v>
      </c>
      <c r="L7" s="1" t="s">
        <v>2823</v>
      </c>
      <c r="M7" s="1" t="s">
        <v>2824</v>
      </c>
      <c r="N7" s="1" t="s">
        <v>2825</v>
      </c>
      <c r="O7" s="1" t="s">
        <v>20</v>
      </c>
      <c r="P7" s="1">
        <v>2025</v>
      </c>
      <c r="Q7" s="1">
        <v>18</v>
      </c>
      <c r="R7" s="1">
        <v>7</v>
      </c>
      <c r="S7" s="1">
        <v>1717</v>
      </c>
      <c r="T7" s="1">
        <v>1726</v>
      </c>
      <c r="U7" s="1" t="s">
        <v>2826</v>
      </c>
      <c r="V7" s="1" t="str">
        <f>HYPERLINK("http://dx.doi.org/10.1007/s12273-025-1289-8","http://dx.doi.org/10.1007/s12273-025-1289-8")</f>
        <v>http://dx.doi.org/10.1007/s12273-025-1289-8</v>
      </c>
    </row>
    <row r="8" spans="1:22" x14ac:dyDescent="0.4">
      <c r="C8" s="1" t="s">
        <v>2885</v>
      </c>
      <c r="D8" s="1" t="s">
        <v>2886</v>
      </c>
      <c r="E8" s="1" t="s">
        <v>2887</v>
      </c>
      <c r="F8" s="1" t="s">
        <v>12</v>
      </c>
      <c r="G8" s="1" t="s">
        <v>262</v>
      </c>
      <c r="H8" s="1" t="s">
        <v>2888</v>
      </c>
      <c r="I8" s="1" t="s">
        <v>11</v>
      </c>
      <c r="J8" s="1" t="s">
        <v>2889</v>
      </c>
      <c r="K8" s="1" t="s">
        <v>2890</v>
      </c>
      <c r="L8" s="1" t="s">
        <v>2891</v>
      </c>
      <c r="M8" s="1" t="s">
        <v>2892</v>
      </c>
      <c r="N8" s="1" t="s">
        <v>2893</v>
      </c>
      <c r="O8" s="1" t="s">
        <v>22</v>
      </c>
      <c r="P8" s="1">
        <v>2025</v>
      </c>
      <c r="Q8" s="1">
        <v>18</v>
      </c>
      <c r="R8" s="1">
        <v>6</v>
      </c>
      <c r="S8" s="1">
        <v>1393</v>
      </c>
      <c r="T8" s="1">
        <v>1407</v>
      </c>
      <c r="U8" s="1" t="s">
        <v>2894</v>
      </c>
      <c r="V8" s="1" t="str">
        <f>HYPERLINK("http://dx.doi.org/10.1007/s12273-025-1282-2","http://dx.doi.org/10.1007/s12273-025-1282-2")</f>
        <v>http://dx.doi.org/10.1007/s12273-025-1282-2</v>
      </c>
    </row>
    <row r="9" spans="1:22" x14ac:dyDescent="0.4">
      <c r="C9" s="1" t="s">
        <v>2940</v>
      </c>
      <c r="D9" s="1" t="s">
        <v>2941</v>
      </c>
      <c r="E9" s="1" t="s">
        <v>2942</v>
      </c>
      <c r="F9" s="1" t="s">
        <v>12</v>
      </c>
      <c r="G9" s="1" t="s">
        <v>262</v>
      </c>
      <c r="H9" s="1" t="s">
        <v>2943</v>
      </c>
      <c r="I9" s="1" t="s">
        <v>2944</v>
      </c>
      <c r="J9" s="1" t="s">
        <v>2945</v>
      </c>
      <c r="K9" s="1" t="s">
        <v>2946</v>
      </c>
      <c r="L9" s="1" t="s">
        <v>2947</v>
      </c>
      <c r="M9" s="1" t="s">
        <v>2948</v>
      </c>
      <c r="N9" s="1" t="s">
        <v>2949</v>
      </c>
      <c r="O9" s="1" t="s">
        <v>21</v>
      </c>
      <c r="P9" s="1">
        <v>2025</v>
      </c>
      <c r="Q9" s="1">
        <v>18</v>
      </c>
      <c r="R9" s="1">
        <v>5</v>
      </c>
      <c r="S9" s="1">
        <v>1019</v>
      </c>
      <c r="T9" s="1">
        <v>1042</v>
      </c>
      <c r="U9" s="1" t="s">
        <v>2950</v>
      </c>
      <c r="V9" s="1" t="str">
        <f>HYPERLINK("http://dx.doi.org/10.1007/s12273-025-1240-z","http://dx.doi.org/10.1007/s12273-025-1240-z")</f>
        <v>http://dx.doi.org/10.1007/s12273-025-1240-z</v>
      </c>
    </row>
    <row r="10" spans="1:22" x14ac:dyDescent="0.4">
      <c r="C10" s="1" t="s">
        <v>3065</v>
      </c>
      <c r="D10" s="1" t="s">
        <v>3066</v>
      </c>
      <c r="E10" s="1" t="s">
        <v>3067</v>
      </c>
      <c r="F10" s="1" t="s">
        <v>12</v>
      </c>
      <c r="G10" s="1" t="s">
        <v>262</v>
      </c>
      <c r="H10" s="1" t="s">
        <v>3068</v>
      </c>
      <c r="I10" s="1" t="s">
        <v>3069</v>
      </c>
      <c r="J10" s="1" t="s">
        <v>3070</v>
      </c>
      <c r="K10" s="1" t="s">
        <v>3071</v>
      </c>
      <c r="L10" s="1" t="s">
        <v>2947</v>
      </c>
      <c r="M10" s="1" t="s">
        <v>3072</v>
      </c>
      <c r="N10" s="1" t="s">
        <v>3073</v>
      </c>
      <c r="O10" s="1" t="s">
        <v>22</v>
      </c>
      <c r="P10" s="1">
        <v>2025</v>
      </c>
      <c r="Q10" s="1">
        <v>18</v>
      </c>
      <c r="R10" s="1">
        <v>6</v>
      </c>
      <c r="S10" s="1">
        <v>1299</v>
      </c>
      <c r="T10" s="1">
        <v>1316</v>
      </c>
      <c r="U10" s="1" t="s">
        <v>3074</v>
      </c>
      <c r="V10" s="1" t="str">
        <f>HYPERLINK("http://dx.doi.org/10.1007/s12273-025-1259-1","http://dx.doi.org/10.1007/s12273-025-1259-1")</f>
        <v>http://dx.doi.org/10.1007/s12273-025-1259-1</v>
      </c>
    </row>
    <row r="11" spans="1:22" x14ac:dyDescent="0.4">
      <c r="C11" s="1" t="s">
        <v>3326</v>
      </c>
      <c r="D11" s="1" t="s">
        <v>3327</v>
      </c>
      <c r="E11" s="1" t="s">
        <v>3328</v>
      </c>
      <c r="F11" s="1" t="s">
        <v>12</v>
      </c>
      <c r="G11" s="1" t="s">
        <v>262</v>
      </c>
      <c r="H11" s="1" t="s">
        <v>3329</v>
      </c>
      <c r="I11" s="1" t="s">
        <v>3330</v>
      </c>
      <c r="J11" s="1" t="s">
        <v>3331</v>
      </c>
      <c r="K11" s="1" t="s">
        <v>3332</v>
      </c>
      <c r="L11" s="1" t="s">
        <v>3333</v>
      </c>
      <c r="M11" s="1" t="s">
        <v>745</v>
      </c>
      <c r="N11" s="1" t="s">
        <v>746</v>
      </c>
      <c r="O11" s="1" t="s">
        <v>25</v>
      </c>
      <c r="P11" s="1">
        <v>2025</v>
      </c>
      <c r="Q11" s="1">
        <v>18</v>
      </c>
      <c r="R11" s="1">
        <v>3</v>
      </c>
      <c r="S11" s="1">
        <v>531</v>
      </c>
      <c r="T11" s="1">
        <v>546</v>
      </c>
      <c r="U11" s="1" t="s">
        <v>3334</v>
      </c>
      <c r="V11" s="1" t="str">
        <f>HYPERLINK("http://dx.doi.org/10.1007/s12273-024-1222-6","http://dx.doi.org/10.1007/s12273-024-1222-6")</f>
        <v>http://dx.doi.org/10.1007/s12273-024-1222-6</v>
      </c>
    </row>
  </sheetData>
  <phoneticPr fontId="2" type="noConversion"/>
  <conditionalFormatting sqref="U1">
    <cfRule type="duplicateValues" dxfId="70" priority="10" stopIfTrue="1"/>
  </conditionalFormatting>
  <conditionalFormatting sqref="U3">
    <cfRule type="duplicateValues" dxfId="69" priority="9" stopIfTrue="1"/>
  </conditionalFormatting>
  <conditionalFormatting sqref="U4">
    <cfRule type="duplicateValues" dxfId="68" priority="8" stopIfTrue="1"/>
  </conditionalFormatting>
  <conditionalFormatting sqref="U5">
    <cfRule type="duplicateValues" dxfId="67" priority="7" stopIfTrue="1"/>
  </conditionalFormatting>
  <conditionalFormatting sqref="U6">
    <cfRule type="duplicateValues" dxfId="66" priority="6" stopIfTrue="1"/>
  </conditionalFormatting>
  <conditionalFormatting sqref="U7">
    <cfRule type="duplicateValues" dxfId="65" priority="5" stopIfTrue="1"/>
  </conditionalFormatting>
  <conditionalFormatting sqref="U8">
    <cfRule type="duplicateValues" dxfId="64" priority="4" stopIfTrue="1"/>
  </conditionalFormatting>
  <conditionalFormatting sqref="U9">
    <cfRule type="duplicateValues" dxfId="63" priority="3" stopIfTrue="1"/>
  </conditionalFormatting>
  <conditionalFormatting sqref="U10">
    <cfRule type="duplicateValues" dxfId="62" priority="2" stopIfTrue="1"/>
  </conditionalFormatting>
  <conditionalFormatting sqref="U11">
    <cfRule type="duplicateValues" dxfId="61" priority="1" stopIfTrue="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5"/>
  <sheetViews>
    <sheetView workbookViewId="0">
      <selection activeCell="B5" sqref="B5"/>
    </sheetView>
  </sheetViews>
  <sheetFormatPr defaultColWidth="9.1171875" defaultRowHeight="12.7" x14ac:dyDescent="0.4"/>
  <cols>
    <col min="1" max="1" width="19" style="1" customWidth="1"/>
    <col min="2" max="2" width="15.703125" style="1" customWidth="1"/>
    <col min="3" max="3" width="17.87890625" style="1" bestFit="1" customWidth="1"/>
    <col min="4" max="4" width="17.87890625" style="1" customWidth="1"/>
    <col min="5" max="5" width="17.87890625" style="1" bestFit="1" customWidth="1"/>
    <col min="6" max="6" width="29.41015625" style="1" bestFit="1" customWidth="1"/>
    <col min="7" max="16384" width="9.1171875" style="1"/>
  </cols>
  <sheetData>
    <row r="1" spans="1:22" s="9" customFormat="1" ht="37.700000000000003" customHeight="1" x14ac:dyDescent="0.4">
      <c r="C1" s="16" t="s">
        <v>162</v>
      </c>
      <c r="D1" s="16" t="s">
        <v>0</v>
      </c>
      <c r="E1" s="16" t="s">
        <v>161</v>
      </c>
      <c r="F1" s="16" t="s">
        <v>1</v>
      </c>
      <c r="G1" s="16" t="s">
        <v>255</v>
      </c>
      <c r="H1" s="16" t="s">
        <v>163</v>
      </c>
      <c r="I1" s="16" t="s">
        <v>254</v>
      </c>
      <c r="J1" s="16" t="s">
        <v>164</v>
      </c>
      <c r="K1" s="16" t="s">
        <v>256</v>
      </c>
      <c r="L1" s="16" t="s">
        <v>257</v>
      </c>
      <c r="M1" s="16" t="s">
        <v>258</v>
      </c>
      <c r="N1" s="16" t="s">
        <v>259</v>
      </c>
      <c r="O1" s="16" t="s">
        <v>2</v>
      </c>
      <c r="P1" s="16" t="s">
        <v>3</v>
      </c>
      <c r="Q1" s="16" t="s">
        <v>4</v>
      </c>
      <c r="R1" s="16" t="s">
        <v>5</v>
      </c>
      <c r="S1" s="16" t="s">
        <v>6</v>
      </c>
      <c r="T1" s="16" t="s">
        <v>7</v>
      </c>
      <c r="U1" s="16" t="s">
        <v>8</v>
      </c>
      <c r="V1" s="16" t="s">
        <v>9</v>
      </c>
    </row>
    <row r="2" spans="1:22" ht="13.7" x14ac:dyDescent="0.4">
      <c r="A2" s="2" t="s">
        <v>158</v>
      </c>
      <c r="B2" s="2" t="s">
        <v>189</v>
      </c>
      <c r="E2" s="2"/>
      <c r="F2" s="17"/>
    </row>
    <row r="3" spans="1:22" x14ac:dyDescent="0.4">
      <c r="C3" s="1" t="s">
        <v>552</v>
      </c>
      <c r="D3" s="1" t="s">
        <v>553</v>
      </c>
      <c r="E3" s="1" t="s">
        <v>554</v>
      </c>
      <c r="F3" s="1" t="s">
        <v>12</v>
      </c>
      <c r="G3" s="1" t="s">
        <v>262</v>
      </c>
      <c r="H3" s="1" t="s">
        <v>555</v>
      </c>
      <c r="I3" s="1" t="s">
        <v>556</v>
      </c>
      <c r="J3" s="1" t="s">
        <v>557</v>
      </c>
      <c r="K3" s="1" t="s">
        <v>558</v>
      </c>
      <c r="L3" s="1" t="s">
        <v>559</v>
      </c>
      <c r="M3" s="1" t="s">
        <v>560</v>
      </c>
      <c r="N3" s="1" t="s">
        <v>561</v>
      </c>
      <c r="O3" s="1" t="s">
        <v>21</v>
      </c>
      <c r="P3" s="1">
        <v>2024</v>
      </c>
      <c r="Q3" s="1">
        <v>17</v>
      </c>
      <c r="R3" s="1">
        <v>5</v>
      </c>
      <c r="S3" s="1">
        <v>819</v>
      </c>
      <c r="T3" s="1">
        <v>838</v>
      </c>
      <c r="U3" s="1" t="s">
        <v>562</v>
      </c>
      <c r="V3" s="1" t="str">
        <f>HYPERLINK("http://dx.doi.org/10.1007/s12273-024-1108-7","http://dx.doi.org/10.1007/s12273-024-1108-7")</f>
        <v>http://dx.doi.org/10.1007/s12273-024-1108-7</v>
      </c>
    </row>
    <row r="4" spans="1:22" x14ac:dyDescent="0.4">
      <c r="C4" s="1" t="s">
        <v>1335</v>
      </c>
      <c r="D4" s="1" t="s">
        <v>1336</v>
      </c>
      <c r="E4" s="1" t="s">
        <v>1337</v>
      </c>
      <c r="F4" s="1" t="s">
        <v>12</v>
      </c>
      <c r="G4" s="1" t="s">
        <v>262</v>
      </c>
      <c r="H4" s="1" t="s">
        <v>1338</v>
      </c>
      <c r="I4" s="1" t="s">
        <v>1339</v>
      </c>
      <c r="J4" s="1" t="s">
        <v>1340</v>
      </c>
      <c r="K4" s="1" t="s">
        <v>1341</v>
      </c>
      <c r="L4" s="1" t="s">
        <v>1342</v>
      </c>
      <c r="M4" s="1" t="s">
        <v>1343</v>
      </c>
      <c r="N4" s="1" t="s">
        <v>1344</v>
      </c>
      <c r="O4" s="1" t="s">
        <v>14</v>
      </c>
      <c r="P4" s="1">
        <v>2024</v>
      </c>
      <c r="Q4" s="1">
        <v>17</v>
      </c>
      <c r="R4" s="1">
        <v>11</v>
      </c>
      <c r="S4" s="1">
        <v>2083</v>
      </c>
      <c r="T4" s="1">
        <v>2095</v>
      </c>
      <c r="U4" s="1" t="s">
        <v>1345</v>
      </c>
      <c r="V4" s="1" t="str">
        <f>HYPERLINK("http://dx.doi.org/10.1007/s12273-024-1175-9","http://dx.doi.org/10.1007/s12273-024-1175-9")</f>
        <v>http://dx.doi.org/10.1007/s12273-024-1175-9</v>
      </c>
    </row>
    <row r="5" spans="1:22" x14ac:dyDescent="0.4">
      <c r="C5" s="1" t="s">
        <v>1808</v>
      </c>
      <c r="D5" s="1" t="s">
        <v>1809</v>
      </c>
      <c r="E5" s="1" t="s">
        <v>1810</v>
      </c>
      <c r="F5" s="1" t="s">
        <v>12</v>
      </c>
      <c r="G5" s="1" t="s">
        <v>262</v>
      </c>
      <c r="H5" s="1" t="s">
        <v>1811</v>
      </c>
      <c r="I5" s="1" t="s">
        <v>1812</v>
      </c>
      <c r="J5" s="1" t="s">
        <v>1813</v>
      </c>
      <c r="K5" s="1" t="s">
        <v>1814</v>
      </c>
      <c r="L5" s="1" t="s">
        <v>1815</v>
      </c>
      <c r="M5" s="1" t="s">
        <v>1816</v>
      </c>
      <c r="N5" s="1" t="s">
        <v>1817</v>
      </c>
      <c r="O5" s="1" t="s">
        <v>27</v>
      </c>
      <c r="P5" s="1">
        <v>2025</v>
      </c>
      <c r="Q5" s="1">
        <v>18</v>
      </c>
      <c r="R5" s="1">
        <v>12</v>
      </c>
      <c r="S5" s="1">
        <v>3317</v>
      </c>
      <c r="T5" s="1">
        <v>3335</v>
      </c>
      <c r="U5" s="1" t="s">
        <v>1818</v>
      </c>
      <c r="V5" s="1" t="str">
        <f>HYPERLINK("http://dx.doi.org/10.1007/s12273-025-1367-y","http://dx.doi.org/10.1007/s12273-025-1367-y")</f>
        <v>http://dx.doi.org/10.1007/s12273-025-1367-y</v>
      </c>
    </row>
    <row r="6" spans="1:22" x14ac:dyDescent="0.4">
      <c r="C6" s="1" t="s">
        <v>1856</v>
      </c>
      <c r="D6" s="1" t="s">
        <v>1857</v>
      </c>
      <c r="E6" s="1" t="s">
        <v>1858</v>
      </c>
      <c r="F6" s="1" t="s">
        <v>12</v>
      </c>
      <c r="G6" s="1" t="s">
        <v>262</v>
      </c>
      <c r="H6" s="1" t="s">
        <v>1859</v>
      </c>
      <c r="I6" s="1" t="s">
        <v>1860</v>
      </c>
      <c r="J6" s="1" t="s">
        <v>1861</v>
      </c>
      <c r="K6" s="1" t="s">
        <v>1862</v>
      </c>
      <c r="L6" s="1" t="s">
        <v>1863</v>
      </c>
      <c r="M6" s="1" t="s">
        <v>1864</v>
      </c>
      <c r="N6" s="1" t="s">
        <v>1865</v>
      </c>
      <c r="O6" s="1" t="s">
        <v>27</v>
      </c>
      <c r="P6" s="1">
        <v>2025</v>
      </c>
      <c r="Q6" s="1">
        <v>18</v>
      </c>
      <c r="R6" s="1">
        <v>12</v>
      </c>
      <c r="S6" s="1">
        <v>3275</v>
      </c>
      <c r="T6" s="1">
        <v>3294</v>
      </c>
      <c r="U6" s="1" t="s">
        <v>1866</v>
      </c>
      <c r="V6" s="1" t="str">
        <f>HYPERLINK("http://dx.doi.org/10.1007/s12273-025-1356-1","http://dx.doi.org/10.1007/s12273-025-1356-1")</f>
        <v>http://dx.doi.org/10.1007/s12273-025-1356-1</v>
      </c>
    </row>
    <row r="7" spans="1:22" ht="13.7" x14ac:dyDescent="0.4">
      <c r="A7" s="2"/>
      <c r="B7" s="2"/>
      <c r="C7" s="1" t="s">
        <v>2020</v>
      </c>
      <c r="D7" s="1" t="s">
        <v>2021</v>
      </c>
      <c r="E7" s="1" t="s">
        <v>2022</v>
      </c>
      <c r="F7" s="1" t="s">
        <v>12</v>
      </c>
      <c r="G7" s="1" t="s">
        <v>262</v>
      </c>
      <c r="H7" s="1" t="s">
        <v>2023</v>
      </c>
      <c r="I7" s="1" t="s">
        <v>2024</v>
      </c>
      <c r="J7" s="1" t="s">
        <v>2025</v>
      </c>
      <c r="K7" s="1" t="s">
        <v>2026</v>
      </c>
      <c r="L7" s="1" t="s">
        <v>2027</v>
      </c>
      <c r="M7" s="1" t="s">
        <v>2028</v>
      </c>
      <c r="N7" s="1" t="s">
        <v>2029</v>
      </c>
      <c r="O7" s="1" t="s">
        <v>14</v>
      </c>
      <c r="P7" s="1">
        <v>2025</v>
      </c>
      <c r="Q7" s="1">
        <v>18</v>
      </c>
      <c r="R7" s="1">
        <v>11</v>
      </c>
      <c r="S7" s="1">
        <v>3133</v>
      </c>
      <c r="T7" s="1">
        <v>3152</v>
      </c>
      <c r="U7" s="1" t="s">
        <v>2030</v>
      </c>
      <c r="V7" s="1" t="str">
        <f>HYPERLINK("http://dx.doi.org/10.1007/s12273-025-1365-0","http://dx.doi.org/10.1007/s12273-025-1365-0")</f>
        <v>http://dx.doi.org/10.1007/s12273-025-1365-0</v>
      </c>
    </row>
    <row r="8" spans="1:22" ht="13.7" x14ac:dyDescent="0.4">
      <c r="A8" s="2"/>
      <c r="B8" s="2"/>
      <c r="C8" s="1" t="s">
        <v>2087</v>
      </c>
      <c r="D8" s="1" t="s">
        <v>2088</v>
      </c>
      <c r="E8" s="1" t="s">
        <v>2089</v>
      </c>
      <c r="F8" s="1" t="s">
        <v>12</v>
      </c>
      <c r="G8" s="1" t="s">
        <v>262</v>
      </c>
      <c r="H8" s="1" t="s">
        <v>2090</v>
      </c>
      <c r="I8" s="1" t="s">
        <v>11</v>
      </c>
      <c r="J8" s="1" t="s">
        <v>2091</v>
      </c>
      <c r="K8" s="1" t="s">
        <v>2092</v>
      </c>
      <c r="L8" s="1" t="s">
        <v>2093</v>
      </c>
      <c r="M8" s="1" t="s">
        <v>2094</v>
      </c>
      <c r="N8" s="1" t="s">
        <v>2095</v>
      </c>
      <c r="O8" s="1" t="s">
        <v>15</v>
      </c>
      <c r="P8" s="1">
        <v>2025</v>
      </c>
      <c r="Q8" s="1">
        <v>18</v>
      </c>
      <c r="R8" s="1">
        <v>10</v>
      </c>
      <c r="S8" s="1">
        <v>2741</v>
      </c>
      <c r="T8" s="1">
        <v>2756</v>
      </c>
      <c r="U8" s="1" t="s">
        <v>2096</v>
      </c>
      <c r="V8" s="1" t="str">
        <f>HYPERLINK("http://dx.doi.org/10.1007/s12273-025-1334-7","http://dx.doi.org/10.1007/s12273-025-1334-7")</f>
        <v>http://dx.doi.org/10.1007/s12273-025-1334-7</v>
      </c>
    </row>
    <row r="9" spans="1:22" x14ac:dyDescent="0.4">
      <c r="C9" s="1" t="s">
        <v>2204</v>
      </c>
      <c r="D9" s="1" t="s">
        <v>2205</v>
      </c>
      <c r="E9" s="1" t="s">
        <v>2206</v>
      </c>
      <c r="F9" s="1" t="s">
        <v>12</v>
      </c>
      <c r="G9" s="1" t="s">
        <v>262</v>
      </c>
      <c r="H9" s="1" t="s">
        <v>2207</v>
      </c>
      <c r="I9" s="1" t="s">
        <v>2208</v>
      </c>
      <c r="J9" s="1" t="s">
        <v>2209</v>
      </c>
      <c r="K9" s="1" t="s">
        <v>2210</v>
      </c>
      <c r="L9" s="1" t="s">
        <v>2211</v>
      </c>
      <c r="M9" s="1" t="s">
        <v>2212</v>
      </c>
      <c r="N9" s="1" t="s">
        <v>2213</v>
      </c>
      <c r="O9" s="1" t="s">
        <v>15</v>
      </c>
      <c r="P9" s="1">
        <v>2025</v>
      </c>
      <c r="Q9" s="1">
        <v>18</v>
      </c>
      <c r="R9" s="1">
        <v>10</v>
      </c>
      <c r="S9" s="1">
        <v>2677</v>
      </c>
      <c r="T9" s="1">
        <v>2695</v>
      </c>
      <c r="U9" s="1" t="s">
        <v>2214</v>
      </c>
      <c r="V9" s="1" t="str">
        <f>HYPERLINK("http://dx.doi.org/10.1007/s12273-025-1338-3","http://dx.doi.org/10.1007/s12273-025-1338-3")</f>
        <v>http://dx.doi.org/10.1007/s12273-025-1338-3</v>
      </c>
    </row>
    <row r="10" spans="1:22" x14ac:dyDescent="0.4">
      <c r="C10" s="1" t="s">
        <v>2325</v>
      </c>
      <c r="D10" s="1" t="s">
        <v>2326</v>
      </c>
      <c r="E10" s="1" t="s">
        <v>2327</v>
      </c>
      <c r="F10" s="1" t="s">
        <v>12</v>
      </c>
      <c r="G10" s="1" t="s">
        <v>262</v>
      </c>
      <c r="H10" s="1" t="s">
        <v>2328</v>
      </c>
      <c r="I10" s="1" t="s">
        <v>2329</v>
      </c>
      <c r="J10" s="1" t="s">
        <v>2330</v>
      </c>
      <c r="K10" s="1" t="s">
        <v>2331</v>
      </c>
      <c r="L10" s="1" t="s">
        <v>392</v>
      </c>
      <c r="M10" s="1" t="s">
        <v>2332</v>
      </c>
      <c r="N10" s="1" t="s">
        <v>2333</v>
      </c>
      <c r="O10" s="1" t="s">
        <v>15</v>
      </c>
      <c r="P10" s="1">
        <v>2025</v>
      </c>
      <c r="Q10" s="1">
        <v>18</v>
      </c>
      <c r="R10" s="1">
        <v>10</v>
      </c>
      <c r="S10" s="1">
        <v>2777</v>
      </c>
      <c r="T10" s="1">
        <v>2805</v>
      </c>
      <c r="U10" s="1" t="s">
        <v>2334</v>
      </c>
      <c r="V10" s="1" t="str">
        <f>HYPERLINK("http://dx.doi.org/10.1007/s12273-025-1337-4","http://dx.doi.org/10.1007/s12273-025-1337-4")</f>
        <v>http://dx.doi.org/10.1007/s12273-025-1337-4</v>
      </c>
    </row>
    <row r="11" spans="1:22" x14ac:dyDescent="0.4">
      <c r="C11" s="1" t="s">
        <v>2336</v>
      </c>
      <c r="D11" s="1" t="s">
        <v>2337</v>
      </c>
      <c r="E11" s="1" t="s">
        <v>2338</v>
      </c>
      <c r="F11" s="1" t="s">
        <v>12</v>
      </c>
      <c r="G11" s="1" t="s">
        <v>262</v>
      </c>
      <c r="H11" s="1" t="s">
        <v>2339</v>
      </c>
      <c r="I11" s="1" t="s">
        <v>2340</v>
      </c>
      <c r="J11" s="1" t="s">
        <v>2341</v>
      </c>
      <c r="K11" s="1" t="s">
        <v>2342</v>
      </c>
      <c r="L11" s="1" t="s">
        <v>2343</v>
      </c>
      <c r="M11" s="1" t="s">
        <v>2344</v>
      </c>
      <c r="N11" s="1" t="s">
        <v>2345</v>
      </c>
      <c r="O11" s="1" t="s">
        <v>16</v>
      </c>
      <c r="P11" s="1">
        <v>2025</v>
      </c>
      <c r="Q11" s="1">
        <v>18</v>
      </c>
      <c r="R11" s="1">
        <v>9</v>
      </c>
      <c r="S11" s="1">
        <v>2417</v>
      </c>
      <c r="T11" s="1">
        <v>2433</v>
      </c>
      <c r="U11" s="1" t="s">
        <v>2346</v>
      </c>
      <c r="V11" s="1" t="str">
        <f>HYPERLINK("http://dx.doi.org/10.1007/s12273-025-1310-2","http://dx.doi.org/10.1007/s12273-025-1310-2")</f>
        <v>http://dx.doi.org/10.1007/s12273-025-1310-2</v>
      </c>
    </row>
    <row r="12" spans="1:22" x14ac:dyDescent="0.4">
      <c r="C12" s="1" t="s">
        <v>2709</v>
      </c>
      <c r="D12" s="1" t="s">
        <v>2710</v>
      </c>
      <c r="E12" s="1" t="s">
        <v>2711</v>
      </c>
      <c r="F12" s="1" t="s">
        <v>12</v>
      </c>
      <c r="G12" s="1" t="s">
        <v>262</v>
      </c>
      <c r="H12" s="1" t="s">
        <v>2712</v>
      </c>
      <c r="I12" s="1" t="s">
        <v>2713</v>
      </c>
      <c r="J12" s="1" t="s">
        <v>2714</v>
      </c>
      <c r="K12" s="1" t="s">
        <v>2715</v>
      </c>
      <c r="L12" s="1" t="s">
        <v>2716</v>
      </c>
      <c r="M12" s="1" t="s">
        <v>2717</v>
      </c>
      <c r="N12" s="1" t="s">
        <v>2718</v>
      </c>
      <c r="O12" s="1" t="s">
        <v>20</v>
      </c>
      <c r="P12" s="1">
        <v>2025</v>
      </c>
      <c r="Q12" s="1">
        <v>18</v>
      </c>
      <c r="R12" s="1">
        <v>7</v>
      </c>
      <c r="S12" s="1">
        <v>1877</v>
      </c>
      <c r="T12" s="1">
        <v>1901</v>
      </c>
      <c r="U12" s="1" t="s">
        <v>2719</v>
      </c>
      <c r="V12" s="1" t="str">
        <f>HYPERLINK("http://dx.doi.org/10.1007/s12273-025-1293-z","http://dx.doi.org/10.1007/s12273-025-1293-z")</f>
        <v>http://dx.doi.org/10.1007/s12273-025-1293-z</v>
      </c>
    </row>
    <row r="13" spans="1:22" x14ac:dyDescent="0.4">
      <c r="C13" s="1" t="s">
        <v>2863</v>
      </c>
      <c r="D13" s="1" t="s">
        <v>2864</v>
      </c>
      <c r="E13" s="1" t="s">
        <v>2865</v>
      </c>
      <c r="F13" s="1" t="s">
        <v>12</v>
      </c>
      <c r="G13" s="1" t="s">
        <v>262</v>
      </c>
      <c r="H13" s="1" t="s">
        <v>2866</v>
      </c>
      <c r="I13" s="1" t="s">
        <v>2867</v>
      </c>
      <c r="J13" s="1" t="s">
        <v>2868</v>
      </c>
      <c r="K13" s="1" t="s">
        <v>2869</v>
      </c>
      <c r="L13" s="1" t="s">
        <v>2870</v>
      </c>
      <c r="M13" s="1" t="s">
        <v>2871</v>
      </c>
      <c r="N13" s="1" t="s">
        <v>711</v>
      </c>
      <c r="O13" s="1" t="s">
        <v>21</v>
      </c>
      <c r="P13" s="1">
        <v>2025</v>
      </c>
      <c r="Q13" s="1">
        <v>18</v>
      </c>
      <c r="R13" s="1">
        <v>5</v>
      </c>
      <c r="S13" s="1">
        <v>1179</v>
      </c>
      <c r="T13" s="1">
        <v>1204</v>
      </c>
      <c r="U13" s="1" t="s">
        <v>2872</v>
      </c>
      <c r="V13" s="1" t="str">
        <f>HYPERLINK("http://dx.doi.org/10.1007/s12273-025-1253-7","http://dx.doi.org/10.1007/s12273-025-1253-7")</f>
        <v>http://dx.doi.org/10.1007/s12273-025-1253-7</v>
      </c>
    </row>
    <row r="14" spans="1:22" x14ac:dyDescent="0.4">
      <c r="C14" s="1" t="s">
        <v>2964</v>
      </c>
      <c r="D14" s="1" t="s">
        <v>2965</v>
      </c>
      <c r="E14" s="1" t="s">
        <v>2966</v>
      </c>
      <c r="F14" s="1" t="s">
        <v>12</v>
      </c>
      <c r="G14" s="1" t="s">
        <v>262</v>
      </c>
      <c r="H14" s="1" t="s">
        <v>2967</v>
      </c>
      <c r="I14" s="1" t="s">
        <v>2968</v>
      </c>
      <c r="J14" s="1" t="s">
        <v>2969</v>
      </c>
      <c r="K14" s="1" t="s">
        <v>2970</v>
      </c>
      <c r="L14" s="1" t="s">
        <v>2971</v>
      </c>
      <c r="M14" s="1" t="s">
        <v>2972</v>
      </c>
      <c r="N14" s="1" t="s">
        <v>2973</v>
      </c>
      <c r="O14" s="1" t="s">
        <v>20</v>
      </c>
      <c r="P14" s="1">
        <v>2025</v>
      </c>
      <c r="Q14" s="1">
        <v>18</v>
      </c>
      <c r="R14" s="1">
        <v>7</v>
      </c>
      <c r="S14" s="1">
        <v>1837</v>
      </c>
      <c r="T14" s="1">
        <v>1856</v>
      </c>
      <c r="U14" s="1" t="s">
        <v>2974</v>
      </c>
      <c r="V14" s="1" t="str">
        <f>HYPERLINK("http://dx.doi.org/10.1007/s12273-025-1269-z","http://dx.doi.org/10.1007/s12273-025-1269-z")</f>
        <v>http://dx.doi.org/10.1007/s12273-025-1269-z</v>
      </c>
    </row>
    <row r="15" spans="1:22" ht="13.7" x14ac:dyDescent="0.4">
      <c r="A15" s="2"/>
      <c r="B15" s="2"/>
      <c r="C15" s="1" t="s">
        <v>3177</v>
      </c>
      <c r="D15" s="1" t="s">
        <v>3178</v>
      </c>
      <c r="E15" s="1" t="s">
        <v>3179</v>
      </c>
      <c r="F15" s="1" t="s">
        <v>12</v>
      </c>
      <c r="G15" s="1" t="s">
        <v>262</v>
      </c>
      <c r="H15" s="1" t="s">
        <v>3180</v>
      </c>
      <c r="I15" s="1" t="s">
        <v>3181</v>
      </c>
      <c r="J15" s="1" t="s">
        <v>3182</v>
      </c>
      <c r="K15" s="1" t="s">
        <v>3183</v>
      </c>
      <c r="L15" s="1" t="s">
        <v>346</v>
      </c>
      <c r="M15" s="1" t="s">
        <v>3184</v>
      </c>
      <c r="N15" s="1" t="s">
        <v>347</v>
      </c>
      <c r="O15" s="1" t="s">
        <v>23</v>
      </c>
      <c r="P15" s="1">
        <v>2025</v>
      </c>
      <c r="Q15" s="1">
        <v>18</v>
      </c>
      <c r="R15" s="1">
        <v>4</v>
      </c>
      <c r="S15" s="1">
        <v>897</v>
      </c>
      <c r="T15" s="1">
        <v>922</v>
      </c>
      <c r="U15" s="1" t="s">
        <v>3185</v>
      </c>
      <c r="V15" s="1" t="str">
        <f>HYPERLINK("http://dx.doi.org/10.1007/s12273-025-1236-8","http://dx.doi.org/10.1007/s12273-025-1236-8")</f>
        <v>http://dx.doi.org/10.1007/s12273-025-1236-8</v>
      </c>
    </row>
    <row r="16" spans="1:22" ht="13.7" x14ac:dyDescent="0.4">
      <c r="A16" s="2"/>
      <c r="B16" s="2"/>
      <c r="C16" s="1" t="s">
        <v>3403</v>
      </c>
      <c r="D16" s="1" t="s">
        <v>3404</v>
      </c>
      <c r="E16" s="1" t="s">
        <v>3405</v>
      </c>
      <c r="F16" s="1" t="s">
        <v>12</v>
      </c>
      <c r="G16" s="1" t="s">
        <v>262</v>
      </c>
      <c r="H16" s="1" t="s">
        <v>3406</v>
      </c>
      <c r="I16" s="1" t="s">
        <v>3407</v>
      </c>
      <c r="J16" s="1" t="s">
        <v>3408</v>
      </c>
      <c r="K16" s="1" t="s">
        <v>3409</v>
      </c>
      <c r="L16" s="1" t="s">
        <v>3410</v>
      </c>
      <c r="M16" s="1" t="s">
        <v>3411</v>
      </c>
      <c r="N16" s="1" t="s">
        <v>3412</v>
      </c>
      <c r="O16" s="1" t="s">
        <v>26</v>
      </c>
      <c r="P16" s="1">
        <v>2025</v>
      </c>
      <c r="Q16" s="1">
        <v>18</v>
      </c>
      <c r="R16" s="1">
        <v>2</v>
      </c>
      <c r="S16" s="1">
        <v>339</v>
      </c>
      <c r="T16" s="1">
        <v>352</v>
      </c>
      <c r="U16" s="1" t="s">
        <v>3413</v>
      </c>
      <c r="V16" s="1" t="str">
        <f>HYPERLINK("http://dx.doi.org/10.1007/s12273-024-1219-1","http://dx.doi.org/10.1007/s12273-024-1219-1")</f>
        <v>http://dx.doi.org/10.1007/s12273-024-1219-1</v>
      </c>
    </row>
    <row r="17" spans="1:22" x14ac:dyDescent="0.4">
      <c r="C17" s="1" t="s">
        <v>1681</v>
      </c>
      <c r="D17" s="1" t="s">
        <v>1682</v>
      </c>
      <c r="E17" s="1" t="s">
        <v>1683</v>
      </c>
      <c r="F17" s="1" t="s">
        <v>12</v>
      </c>
      <c r="G17" s="1" t="s">
        <v>262</v>
      </c>
      <c r="H17" s="1" t="s">
        <v>1684</v>
      </c>
      <c r="I17" s="1" t="s">
        <v>1685</v>
      </c>
      <c r="J17" s="1" t="s">
        <v>1686</v>
      </c>
      <c r="K17" s="1" t="s">
        <v>1687</v>
      </c>
      <c r="L17" s="1" t="s">
        <v>3448</v>
      </c>
      <c r="M17" s="1" t="s">
        <v>930</v>
      </c>
      <c r="N17" s="1" t="s">
        <v>280</v>
      </c>
      <c r="O17" s="1" t="s">
        <v>26</v>
      </c>
      <c r="P17" s="1">
        <v>2025</v>
      </c>
      <c r="Q17" s="1">
        <v>18</v>
      </c>
      <c r="R17" s="1">
        <v>2</v>
      </c>
      <c r="S17" s="1">
        <v>321</v>
      </c>
      <c r="T17" s="1">
        <v>337</v>
      </c>
      <c r="U17" s="1" t="s">
        <v>1689</v>
      </c>
      <c r="V17" s="1" t="str">
        <f>HYPERLINK("http://dx.doi.org/10.1007/s12273-024-1212-8","http://dx.doi.org/10.1007/s12273-024-1212-8")</f>
        <v>http://dx.doi.org/10.1007/s12273-024-1212-8</v>
      </c>
    </row>
    <row r="18" spans="1:22" ht="13.7" x14ac:dyDescent="0.4">
      <c r="A18" s="2"/>
      <c r="B18" s="2"/>
    </row>
    <row r="19" spans="1:22" ht="13.7" x14ac:dyDescent="0.4">
      <c r="A19" s="2" t="s">
        <v>159</v>
      </c>
      <c r="B19" s="2" t="s">
        <v>190</v>
      </c>
      <c r="E19" s="2"/>
      <c r="F19" s="17"/>
    </row>
    <row r="20" spans="1:22" x14ac:dyDescent="0.4">
      <c r="C20" s="1" t="s">
        <v>737</v>
      </c>
      <c r="D20" s="1" t="s">
        <v>738</v>
      </c>
      <c r="E20" s="1" t="s">
        <v>739</v>
      </c>
      <c r="F20" s="1" t="s">
        <v>12</v>
      </c>
      <c r="G20" s="1" t="s">
        <v>262</v>
      </c>
      <c r="H20" s="1" t="s">
        <v>740</v>
      </c>
      <c r="I20" s="1" t="s">
        <v>741</v>
      </c>
      <c r="J20" s="1" t="s">
        <v>742</v>
      </c>
      <c r="K20" s="1" t="s">
        <v>743</v>
      </c>
      <c r="L20" s="1" t="s">
        <v>744</v>
      </c>
      <c r="M20" s="1" t="s">
        <v>745</v>
      </c>
      <c r="N20" s="1" t="s">
        <v>746</v>
      </c>
      <c r="O20" s="1" t="s">
        <v>20</v>
      </c>
      <c r="P20" s="1">
        <v>2024</v>
      </c>
      <c r="Q20" s="1">
        <v>17</v>
      </c>
      <c r="R20" s="1">
        <v>7</v>
      </c>
      <c r="S20" s="1">
        <v>1113</v>
      </c>
      <c r="T20" s="1">
        <v>1136</v>
      </c>
      <c r="U20" s="1" t="s">
        <v>747</v>
      </c>
      <c r="V20" s="1" t="str">
        <f>HYPERLINK("http://dx.doi.org/10.1007/s12273-024-1125-6","http://dx.doi.org/10.1007/s12273-024-1125-6")</f>
        <v>http://dx.doi.org/10.1007/s12273-024-1125-6</v>
      </c>
    </row>
    <row r="21" spans="1:22" ht="13.7" x14ac:dyDescent="0.4">
      <c r="A21" s="2"/>
      <c r="B21" s="2"/>
      <c r="C21" s="1" t="s">
        <v>2216</v>
      </c>
      <c r="D21" s="1" t="s">
        <v>2217</v>
      </c>
      <c r="E21" s="1" t="s">
        <v>2218</v>
      </c>
      <c r="F21" s="1" t="s">
        <v>12</v>
      </c>
      <c r="G21" s="1" t="s">
        <v>262</v>
      </c>
      <c r="H21" s="1" t="s">
        <v>2219</v>
      </c>
      <c r="I21" s="1" t="s">
        <v>2220</v>
      </c>
      <c r="J21" s="1" t="s">
        <v>2221</v>
      </c>
      <c r="K21" s="1" t="s">
        <v>2222</v>
      </c>
      <c r="L21" s="1" t="s">
        <v>2223</v>
      </c>
      <c r="M21" s="1" t="s">
        <v>2224</v>
      </c>
      <c r="N21" s="1" t="s">
        <v>2225</v>
      </c>
      <c r="O21" s="1" t="s">
        <v>15</v>
      </c>
      <c r="P21" s="1">
        <v>2025</v>
      </c>
      <c r="Q21" s="1">
        <v>18</v>
      </c>
      <c r="R21" s="1">
        <v>10</v>
      </c>
      <c r="S21" s="1">
        <v>2531</v>
      </c>
      <c r="T21" s="1">
        <v>2558</v>
      </c>
      <c r="U21" s="1" t="s">
        <v>2226</v>
      </c>
      <c r="V21" s="1" t="str">
        <f>HYPERLINK("http://dx.doi.org/10.1007/s12273-025-1332-9","http://dx.doi.org/10.1007/s12273-025-1332-9")</f>
        <v>http://dx.doi.org/10.1007/s12273-025-1332-9</v>
      </c>
    </row>
    <row r="22" spans="1:22" x14ac:dyDescent="0.4">
      <c r="C22" s="1" t="s">
        <v>2383</v>
      </c>
      <c r="D22" s="1" t="s">
        <v>2384</v>
      </c>
      <c r="E22" s="1" t="s">
        <v>2385</v>
      </c>
      <c r="F22" s="1" t="s">
        <v>12</v>
      </c>
      <c r="G22" s="1" t="s">
        <v>262</v>
      </c>
      <c r="H22" s="1" t="s">
        <v>2386</v>
      </c>
      <c r="I22" s="1" t="s">
        <v>2387</v>
      </c>
      <c r="J22" s="1" t="s">
        <v>2388</v>
      </c>
      <c r="K22" s="1" t="s">
        <v>2389</v>
      </c>
      <c r="L22" s="1" t="s">
        <v>2390</v>
      </c>
      <c r="M22" s="1" t="s">
        <v>2391</v>
      </c>
      <c r="N22" s="1" t="s">
        <v>2392</v>
      </c>
      <c r="O22" s="1" t="s">
        <v>16</v>
      </c>
      <c r="P22" s="1">
        <v>2025</v>
      </c>
      <c r="Q22" s="1">
        <v>18</v>
      </c>
      <c r="R22" s="1">
        <v>9</v>
      </c>
      <c r="S22" s="1">
        <v>2345</v>
      </c>
      <c r="T22" s="1">
        <v>2364</v>
      </c>
      <c r="U22" s="1" t="s">
        <v>2393</v>
      </c>
      <c r="V22" s="1" t="str">
        <f>HYPERLINK("http://dx.doi.org/10.1007/s12273-025-1327-6","http://dx.doi.org/10.1007/s12273-025-1327-6")</f>
        <v>http://dx.doi.org/10.1007/s12273-025-1327-6</v>
      </c>
    </row>
    <row r="23" spans="1:22" x14ac:dyDescent="0.4">
      <c r="C23" s="1" t="s">
        <v>2700</v>
      </c>
      <c r="D23" s="1" t="s">
        <v>2701</v>
      </c>
      <c r="E23" s="1" t="s">
        <v>2702</v>
      </c>
      <c r="F23" s="1" t="s">
        <v>12</v>
      </c>
      <c r="G23" s="1" t="s">
        <v>262</v>
      </c>
      <c r="H23" s="1" t="s">
        <v>2703</v>
      </c>
      <c r="I23" s="1" t="s">
        <v>2704</v>
      </c>
      <c r="J23" s="1" t="s">
        <v>2705</v>
      </c>
      <c r="K23" s="1" t="s">
        <v>2706</v>
      </c>
      <c r="L23" s="1" t="s">
        <v>266</v>
      </c>
      <c r="M23" s="1" t="s">
        <v>308</v>
      </c>
      <c r="N23" s="1" t="s">
        <v>309</v>
      </c>
      <c r="O23" s="1" t="s">
        <v>20</v>
      </c>
      <c r="P23" s="1">
        <v>2025</v>
      </c>
      <c r="Q23" s="1">
        <v>18</v>
      </c>
      <c r="R23" s="1">
        <v>7</v>
      </c>
      <c r="S23" s="1">
        <v>1659</v>
      </c>
      <c r="T23" s="1">
        <v>1676</v>
      </c>
      <c r="U23" s="1" t="s">
        <v>2707</v>
      </c>
      <c r="V23" s="1" t="str">
        <f>HYPERLINK("http://dx.doi.org/10.1007/s12273-025-1272-4","http://dx.doi.org/10.1007/s12273-025-1272-4")</f>
        <v>http://dx.doi.org/10.1007/s12273-025-1272-4</v>
      </c>
    </row>
    <row r="24" spans="1:22" x14ac:dyDescent="0.4">
      <c r="C24" s="1" t="s">
        <v>3166</v>
      </c>
      <c r="D24" s="1" t="s">
        <v>3167</v>
      </c>
      <c r="E24" s="1" t="s">
        <v>3168</v>
      </c>
      <c r="F24" s="1" t="s">
        <v>12</v>
      </c>
      <c r="G24" s="1" t="s">
        <v>262</v>
      </c>
      <c r="H24" s="1" t="s">
        <v>3169</v>
      </c>
      <c r="I24" s="1" t="s">
        <v>3170</v>
      </c>
      <c r="J24" s="1" t="s">
        <v>3171</v>
      </c>
      <c r="K24" s="1" t="s">
        <v>3172</v>
      </c>
      <c r="L24" s="1" t="s">
        <v>1815</v>
      </c>
      <c r="M24" s="1" t="s">
        <v>3173</v>
      </c>
      <c r="N24" s="1" t="s">
        <v>1817</v>
      </c>
      <c r="O24" s="1" t="s">
        <v>23</v>
      </c>
      <c r="P24" s="1">
        <v>2025</v>
      </c>
      <c r="Q24" s="1">
        <v>18</v>
      </c>
      <c r="R24" s="1">
        <v>4</v>
      </c>
      <c r="S24" s="1">
        <v>863</v>
      </c>
      <c r="T24" s="1">
        <v>879</v>
      </c>
      <c r="U24" s="1" t="s">
        <v>3174</v>
      </c>
      <c r="V24" s="1" t="str">
        <f>HYPERLINK("http://dx.doi.org/10.1007/s12273-025-1242-x","http://dx.doi.org/10.1007/s12273-025-1242-x")</f>
        <v>http://dx.doi.org/10.1007/s12273-025-1242-x</v>
      </c>
    </row>
    <row r="25" spans="1:22" x14ac:dyDescent="0.4">
      <c r="C25" s="1" t="s">
        <v>3336</v>
      </c>
      <c r="D25" s="1" t="s">
        <v>3337</v>
      </c>
      <c r="E25" s="1" t="s">
        <v>3338</v>
      </c>
      <c r="F25" s="1" t="s">
        <v>12</v>
      </c>
      <c r="G25" s="1" t="s">
        <v>262</v>
      </c>
      <c r="H25" s="1" t="s">
        <v>3339</v>
      </c>
      <c r="I25" s="1" t="s">
        <v>3340</v>
      </c>
      <c r="J25" s="1" t="s">
        <v>3341</v>
      </c>
      <c r="K25" s="1" t="s">
        <v>3342</v>
      </c>
      <c r="L25" s="1" t="s">
        <v>282</v>
      </c>
      <c r="M25" s="1" t="s">
        <v>3343</v>
      </c>
      <c r="N25" s="1" t="s">
        <v>3344</v>
      </c>
      <c r="O25" s="1" t="s">
        <v>25</v>
      </c>
      <c r="P25" s="1">
        <v>2025</v>
      </c>
      <c r="Q25" s="1">
        <v>18</v>
      </c>
      <c r="R25" s="1">
        <v>3</v>
      </c>
      <c r="S25" s="1">
        <v>499</v>
      </c>
      <c r="T25" s="1">
        <v>513</v>
      </c>
      <c r="U25" s="1" t="s">
        <v>3345</v>
      </c>
      <c r="V25" s="1" t="str">
        <f>HYPERLINK("http://dx.doi.org/10.1007/s12273-024-1223-5","http://dx.doi.org/10.1007/s12273-024-1223-5")</f>
        <v>http://dx.doi.org/10.1007/s12273-024-1223-5</v>
      </c>
    </row>
    <row r="26" spans="1:22" x14ac:dyDescent="0.4">
      <c r="C26" s="1" t="s">
        <v>3392</v>
      </c>
      <c r="D26" s="1" t="s">
        <v>3393</v>
      </c>
      <c r="E26" s="1" t="s">
        <v>3394</v>
      </c>
      <c r="F26" s="1" t="s">
        <v>12</v>
      </c>
      <c r="G26" s="1" t="s">
        <v>262</v>
      </c>
      <c r="H26" s="1" t="s">
        <v>3395</v>
      </c>
      <c r="I26" s="1" t="s">
        <v>3396</v>
      </c>
      <c r="J26" s="1" t="s">
        <v>3397</v>
      </c>
      <c r="K26" s="1" t="s">
        <v>3398</v>
      </c>
      <c r="L26" s="1" t="s">
        <v>3399</v>
      </c>
      <c r="M26" s="1" t="s">
        <v>3400</v>
      </c>
      <c r="N26" s="1" t="s">
        <v>277</v>
      </c>
      <c r="O26" s="1" t="s">
        <v>25</v>
      </c>
      <c r="P26" s="1">
        <v>2025</v>
      </c>
      <c r="Q26" s="1">
        <v>18</v>
      </c>
      <c r="R26" s="1">
        <v>3</v>
      </c>
      <c r="S26" s="1">
        <v>569</v>
      </c>
      <c r="T26" s="1">
        <v>579</v>
      </c>
      <c r="U26" s="1" t="s">
        <v>3401</v>
      </c>
      <c r="V26" s="1" t="str">
        <f>HYPERLINK("http://dx.doi.org/10.1007/s12273-025-1225-y","http://dx.doi.org/10.1007/s12273-025-1225-y")</f>
        <v>http://dx.doi.org/10.1007/s12273-025-1225-y</v>
      </c>
    </row>
    <row r="27" spans="1:22" x14ac:dyDescent="0.4">
      <c r="C27" s="1" t="s">
        <v>1598</v>
      </c>
      <c r="D27" s="1" t="s">
        <v>1599</v>
      </c>
      <c r="E27" s="1" t="s">
        <v>1600</v>
      </c>
      <c r="F27" s="1" t="s">
        <v>12</v>
      </c>
      <c r="G27" s="1" t="s">
        <v>262</v>
      </c>
      <c r="H27" s="1" t="s">
        <v>1601</v>
      </c>
      <c r="I27" s="1" t="s">
        <v>1602</v>
      </c>
      <c r="J27" s="1" t="s">
        <v>1603</v>
      </c>
      <c r="K27" s="1" t="s">
        <v>1604</v>
      </c>
      <c r="L27" s="1" t="s">
        <v>1605</v>
      </c>
      <c r="M27" s="1" t="s">
        <v>1606</v>
      </c>
      <c r="N27" s="1" t="s">
        <v>1607</v>
      </c>
      <c r="O27" s="1" t="s">
        <v>24</v>
      </c>
      <c r="P27" s="1">
        <v>2025</v>
      </c>
      <c r="Q27" s="1">
        <v>18</v>
      </c>
      <c r="R27" s="1">
        <v>1</v>
      </c>
      <c r="S27" s="1">
        <v>141</v>
      </c>
      <c r="T27" s="1">
        <v>159</v>
      </c>
      <c r="U27" s="1" t="s">
        <v>1608</v>
      </c>
      <c r="V27" s="1" t="str">
        <f>HYPERLINK("http://dx.doi.org/10.1007/s12273-024-1199-1","http://dx.doi.org/10.1007/s12273-024-1199-1")</f>
        <v>http://dx.doi.org/10.1007/s12273-024-1199-1</v>
      </c>
    </row>
    <row r="28" spans="1:22" x14ac:dyDescent="0.4">
      <c r="C28" s="1" t="s">
        <v>3527</v>
      </c>
      <c r="D28" s="1" t="s">
        <v>3528</v>
      </c>
      <c r="E28" s="1" t="s">
        <v>3529</v>
      </c>
      <c r="F28" s="1" t="s">
        <v>12</v>
      </c>
      <c r="G28" s="1" t="s">
        <v>273</v>
      </c>
      <c r="H28" s="1" t="s">
        <v>3530</v>
      </c>
      <c r="I28" s="1" t="s">
        <v>3531</v>
      </c>
      <c r="J28" s="1" t="s">
        <v>3532</v>
      </c>
      <c r="K28" s="1" t="s">
        <v>3533</v>
      </c>
      <c r="L28" s="1" t="s">
        <v>3534</v>
      </c>
      <c r="M28" s="1" t="s">
        <v>940</v>
      </c>
      <c r="N28" s="1" t="s">
        <v>941</v>
      </c>
      <c r="O28" s="1" t="s">
        <v>14</v>
      </c>
      <c r="P28" s="1">
        <v>2025</v>
      </c>
      <c r="Q28" s="1">
        <v>18</v>
      </c>
      <c r="R28" s="1">
        <v>11</v>
      </c>
      <c r="S28" s="1">
        <v>2875</v>
      </c>
      <c r="T28" s="1">
        <v>2898</v>
      </c>
      <c r="U28" s="1" t="s">
        <v>3535</v>
      </c>
      <c r="V28" s="1" t="str">
        <f>HYPERLINK("http://dx.doi.org/10.1007/s12273-025-1324-9","http://dx.doi.org/10.1007/s12273-025-1324-9")</f>
        <v>http://dx.doi.org/10.1007/s12273-025-1324-9</v>
      </c>
    </row>
    <row r="30" spans="1:22" ht="13.7" x14ac:dyDescent="0.4">
      <c r="A30" s="2" t="s">
        <v>51</v>
      </c>
      <c r="B30" s="2" t="s">
        <v>165</v>
      </c>
      <c r="E30" s="2"/>
      <c r="F30" s="17"/>
    </row>
    <row r="31" spans="1:22" ht="13.7" x14ac:dyDescent="0.4">
      <c r="A31" s="2"/>
      <c r="B31" s="2"/>
      <c r="C31" s="1" t="s">
        <v>1820</v>
      </c>
      <c r="D31" s="1" t="s">
        <v>1821</v>
      </c>
      <c r="E31" s="1" t="s">
        <v>1822</v>
      </c>
      <c r="F31" s="1" t="s">
        <v>12</v>
      </c>
      <c r="G31" s="1" t="s">
        <v>262</v>
      </c>
      <c r="H31" s="1" t="s">
        <v>1823</v>
      </c>
      <c r="I31" s="1" t="s">
        <v>1824</v>
      </c>
      <c r="J31" s="1" t="s">
        <v>1825</v>
      </c>
      <c r="K31" s="1" t="s">
        <v>1826</v>
      </c>
      <c r="L31" s="1" t="s">
        <v>1827</v>
      </c>
      <c r="M31" s="1" t="s">
        <v>1828</v>
      </c>
      <c r="N31" s="1" t="s">
        <v>1829</v>
      </c>
      <c r="O31" s="1" t="s">
        <v>27</v>
      </c>
      <c r="P31" s="1">
        <v>2025</v>
      </c>
      <c r="Q31" s="1">
        <v>18</v>
      </c>
      <c r="R31" s="1">
        <v>12</v>
      </c>
      <c r="S31" s="1">
        <v>3393</v>
      </c>
      <c r="T31" s="1">
        <v>3410</v>
      </c>
      <c r="U31" s="1" t="s">
        <v>1830</v>
      </c>
      <c r="V31" s="1" t="str">
        <f>HYPERLINK("http://dx.doi.org/10.1007/s12273-025-1360-5","http://dx.doi.org/10.1007/s12273-025-1360-5")</f>
        <v>http://dx.doi.org/10.1007/s12273-025-1360-5</v>
      </c>
    </row>
    <row r="32" spans="1:22" x14ac:dyDescent="0.4">
      <c r="C32" s="1" t="s">
        <v>2169</v>
      </c>
      <c r="D32" s="1" t="s">
        <v>2170</v>
      </c>
      <c r="E32" s="1" t="s">
        <v>2171</v>
      </c>
      <c r="F32" s="1" t="s">
        <v>12</v>
      </c>
      <c r="G32" s="1" t="s">
        <v>262</v>
      </c>
      <c r="H32" s="1" t="s">
        <v>2172</v>
      </c>
      <c r="I32" s="1" t="s">
        <v>2173</v>
      </c>
      <c r="J32" s="1" t="s">
        <v>2174</v>
      </c>
      <c r="K32" s="1" t="s">
        <v>2175</v>
      </c>
      <c r="L32" s="1" t="s">
        <v>2176</v>
      </c>
      <c r="M32" s="1" t="s">
        <v>2177</v>
      </c>
      <c r="N32" s="1" t="s">
        <v>2178</v>
      </c>
      <c r="O32" s="1" t="s">
        <v>15</v>
      </c>
      <c r="P32" s="1">
        <v>2025</v>
      </c>
      <c r="Q32" s="1">
        <v>18</v>
      </c>
      <c r="R32" s="1">
        <v>10</v>
      </c>
      <c r="S32" s="1">
        <v>2807</v>
      </c>
      <c r="T32" s="1">
        <v>2824</v>
      </c>
      <c r="U32" s="1" t="s">
        <v>2179</v>
      </c>
      <c r="V32" s="1" t="str">
        <f>HYPERLINK("http://dx.doi.org/10.1007/s12273-025-1340-9","http://dx.doi.org/10.1007/s12273-025-1340-9")</f>
        <v>http://dx.doi.org/10.1007/s12273-025-1340-9</v>
      </c>
    </row>
    <row r="33" spans="1:22" ht="13.7" x14ac:dyDescent="0.4">
      <c r="A33" s="2"/>
      <c r="B33" s="2"/>
      <c r="C33" s="1" t="s">
        <v>2476</v>
      </c>
      <c r="D33" s="1" t="s">
        <v>2477</v>
      </c>
      <c r="E33" s="1" t="s">
        <v>2478</v>
      </c>
      <c r="F33" s="1" t="s">
        <v>12</v>
      </c>
      <c r="G33" s="1" t="s">
        <v>262</v>
      </c>
      <c r="H33" s="1" t="s">
        <v>2479</v>
      </c>
      <c r="I33" s="1" t="s">
        <v>2480</v>
      </c>
      <c r="J33" s="1" t="s">
        <v>2481</v>
      </c>
      <c r="K33" s="1" t="s">
        <v>2482</v>
      </c>
      <c r="L33" s="1" t="s">
        <v>665</v>
      </c>
      <c r="M33" s="1" t="s">
        <v>986</v>
      </c>
      <c r="N33" s="1" t="s">
        <v>987</v>
      </c>
      <c r="O33" s="1" t="s">
        <v>20</v>
      </c>
      <c r="P33" s="1">
        <v>2025</v>
      </c>
      <c r="Q33" s="1">
        <v>18</v>
      </c>
      <c r="R33" s="1">
        <v>7</v>
      </c>
      <c r="S33" s="1">
        <v>1785</v>
      </c>
      <c r="T33" s="1">
        <v>1797</v>
      </c>
      <c r="U33" s="1" t="s">
        <v>2483</v>
      </c>
      <c r="V33" s="1" t="str">
        <f>HYPERLINK("http://dx.doi.org/10.1007/s12273-025-1317-8","http://dx.doi.org/10.1007/s12273-025-1317-8")</f>
        <v>http://dx.doi.org/10.1007/s12273-025-1317-8</v>
      </c>
    </row>
    <row r="34" spans="1:22" ht="13.7" x14ac:dyDescent="0.4">
      <c r="A34" s="2"/>
      <c r="B34" s="2"/>
      <c r="C34" s="1" t="s">
        <v>2646</v>
      </c>
      <c r="D34" s="1" t="s">
        <v>2647</v>
      </c>
      <c r="E34" s="1" t="s">
        <v>2648</v>
      </c>
      <c r="F34" s="1" t="s">
        <v>12</v>
      </c>
      <c r="G34" s="1" t="s">
        <v>262</v>
      </c>
      <c r="H34" s="1" t="s">
        <v>2649</v>
      </c>
      <c r="I34" s="1" t="s">
        <v>2650</v>
      </c>
      <c r="J34" s="1" t="s">
        <v>2651</v>
      </c>
      <c r="K34" s="1" t="s">
        <v>2652</v>
      </c>
      <c r="L34" s="1" t="s">
        <v>2653</v>
      </c>
      <c r="M34" s="1" t="s">
        <v>2654</v>
      </c>
      <c r="N34" s="1" t="s">
        <v>2655</v>
      </c>
      <c r="O34" s="1" t="s">
        <v>19</v>
      </c>
      <c r="P34" s="1">
        <v>2025</v>
      </c>
      <c r="Q34" s="1">
        <v>18</v>
      </c>
      <c r="R34" s="1">
        <v>8</v>
      </c>
      <c r="S34" s="1">
        <v>2201</v>
      </c>
      <c r="T34" s="1">
        <v>2218</v>
      </c>
      <c r="U34" s="1" t="s">
        <v>2656</v>
      </c>
      <c r="V34" s="1" t="str">
        <f>HYPERLINK("http://dx.doi.org/10.1007/s12273-025-1304-0","http://dx.doi.org/10.1007/s12273-025-1304-0")</f>
        <v>http://dx.doi.org/10.1007/s12273-025-1304-0</v>
      </c>
    </row>
    <row r="35" spans="1:22" x14ac:dyDescent="0.4">
      <c r="C35" s="1" t="s">
        <v>2689</v>
      </c>
      <c r="D35" s="1" t="s">
        <v>2690</v>
      </c>
      <c r="E35" s="1" t="s">
        <v>2691</v>
      </c>
      <c r="F35" s="1" t="s">
        <v>12</v>
      </c>
      <c r="G35" s="1" t="s">
        <v>262</v>
      </c>
      <c r="H35" s="1" t="s">
        <v>2692</v>
      </c>
      <c r="I35" s="1" t="s">
        <v>2693</v>
      </c>
      <c r="J35" s="1" t="s">
        <v>2694</v>
      </c>
      <c r="K35" s="1" t="s">
        <v>2695</v>
      </c>
      <c r="L35" s="1" t="s">
        <v>303</v>
      </c>
      <c r="M35" s="1" t="s">
        <v>2696</v>
      </c>
      <c r="N35" s="1" t="s">
        <v>2697</v>
      </c>
      <c r="O35" s="1" t="s">
        <v>22</v>
      </c>
      <c r="P35" s="1">
        <v>2025</v>
      </c>
      <c r="Q35" s="1">
        <v>18</v>
      </c>
      <c r="R35" s="1">
        <v>6</v>
      </c>
      <c r="S35" s="1">
        <v>1543</v>
      </c>
      <c r="T35" s="1">
        <v>1559</v>
      </c>
      <c r="U35" s="1" t="s">
        <v>2698</v>
      </c>
      <c r="V35" s="1" t="str">
        <f>HYPERLINK("http://dx.doi.org/10.1007/s12273-025-1284-0","http://dx.doi.org/10.1007/s12273-025-1284-0")</f>
        <v>http://dx.doi.org/10.1007/s12273-025-1284-0</v>
      </c>
    </row>
    <row r="36" spans="1:22" ht="13.7" x14ac:dyDescent="0.4">
      <c r="A36" s="2"/>
      <c r="B36" s="2"/>
      <c r="C36" s="1" t="s">
        <v>3009</v>
      </c>
      <c r="D36" s="1" t="s">
        <v>3010</v>
      </c>
      <c r="E36" s="1" t="s">
        <v>3011</v>
      </c>
      <c r="F36" s="1" t="s">
        <v>12</v>
      </c>
      <c r="G36" s="1" t="s">
        <v>262</v>
      </c>
      <c r="H36" s="1" t="s">
        <v>3012</v>
      </c>
      <c r="I36" s="1" t="s">
        <v>3013</v>
      </c>
      <c r="J36" s="1" t="s">
        <v>3014</v>
      </c>
      <c r="K36" s="1" t="s">
        <v>3015</v>
      </c>
      <c r="L36" s="1" t="s">
        <v>284</v>
      </c>
      <c r="M36" s="1" t="s">
        <v>285</v>
      </c>
      <c r="N36" s="1" t="s">
        <v>286</v>
      </c>
      <c r="O36" s="1" t="s">
        <v>22</v>
      </c>
      <c r="P36" s="1">
        <v>2025</v>
      </c>
      <c r="Q36" s="1">
        <v>18</v>
      </c>
      <c r="R36" s="1">
        <v>6</v>
      </c>
      <c r="S36" s="1">
        <v>1435</v>
      </c>
      <c r="T36" s="1">
        <v>1451</v>
      </c>
      <c r="U36" s="1" t="s">
        <v>3016</v>
      </c>
      <c r="V36" s="1" t="str">
        <f>HYPERLINK("http://dx.doi.org/10.1007/s12273-025-1263-5","http://dx.doi.org/10.1007/s12273-025-1263-5")</f>
        <v>http://dx.doi.org/10.1007/s12273-025-1263-5</v>
      </c>
    </row>
    <row r="37" spans="1:22" x14ac:dyDescent="0.4">
      <c r="C37" s="1" t="s">
        <v>3242</v>
      </c>
      <c r="D37" s="1" t="s">
        <v>3243</v>
      </c>
      <c r="E37" s="1" t="s">
        <v>3244</v>
      </c>
      <c r="F37" s="1" t="s">
        <v>12</v>
      </c>
      <c r="G37" s="1" t="s">
        <v>262</v>
      </c>
      <c r="H37" s="1" t="s">
        <v>3245</v>
      </c>
      <c r="I37" s="1" t="s">
        <v>3246</v>
      </c>
      <c r="J37" s="1" t="s">
        <v>3247</v>
      </c>
      <c r="K37" s="1" t="s">
        <v>3248</v>
      </c>
      <c r="L37" s="1" t="s">
        <v>3249</v>
      </c>
      <c r="M37" s="1" t="s">
        <v>3250</v>
      </c>
      <c r="N37" s="1" t="s">
        <v>3251</v>
      </c>
      <c r="O37" s="1" t="s">
        <v>23</v>
      </c>
      <c r="P37" s="1">
        <v>2025</v>
      </c>
      <c r="Q37" s="1">
        <v>18</v>
      </c>
      <c r="R37" s="1">
        <v>4</v>
      </c>
      <c r="S37" s="1">
        <v>923</v>
      </c>
      <c r="T37" s="1">
        <v>936</v>
      </c>
      <c r="U37" s="1" t="s">
        <v>3252</v>
      </c>
      <c r="V37" s="1" t="str">
        <f>HYPERLINK("http://dx.doi.org/10.1007/s12273-025-1243-9","http://dx.doi.org/10.1007/s12273-025-1243-9")</f>
        <v>http://dx.doi.org/10.1007/s12273-025-1243-9</v>
      </c>
    </row>
    <row r="38" spans="1:22" x14ac:dyDescent="0.4">
      <c r="C38" s="1" t="s">
        <v>1701</v>
      </c>
      <c r="D38" s="1" t="s">
        <v>1702</v>
      </c>
      <c r="E38" s="1" t="s">
        <v>1703</v>
      </c>
      <c r="F38" s="1" t="s">
        <v>12</v>
      </c>
      <c r="G38" s="1" t="s">
        <v>262</v>
      </c>
      <c r="H38" s="1" t="s">
        <v>1704</v>
      </c>
      <c r="I38" s="1" t="s">
        <v>1705</v>
      </c>
      <c r="J38" s="1" t="s">
        <v>1706</v>
      </c>
      <c r="K38" s="1" t="s">
        <v>1707</v>
      </c>
      <c r="L38" s="1" t="s">
        <v>294</v>
      </c>
      <c r="M38" s="1" t="s">
        <v>1708</v>
      </c>
      <c r="N38" s="1" t="s">
        <v>1709</v>
      </c>
      <c r="O38" s="1" t="s">
        <v>26</v>
      </c>
      <c r="P38" s="1">
        <v>2025</v>
      </c>
      <c r="Q38" s="1">
        <v>18</v>
      </c>
      <c r="R38" s="1">
        <v>2</v>
      </c>
      <c r="S38" s="1">
        <v>371</v>
      </c>
      <c r="T38" s="1">
        <v>383</v>
      </c>
      <c r="U38" s="1" t="s">
        <v>1710</v>
      </c>
      <c r="V38" s="1" t="str">
        <f>HYPERLINK("http://dx.doi.org/10.1007/s12273-024-1215-5","http://dx.doi.org/10.1007/s12273-024-1215-5")</f>
        <v>http://dx.doi.org/10.1007/s12273-024-1215-5</v>
      </c>
    </row>
    <row r="39" spans="1:22" x14ac:dyDescent="0.4">
      <c r="C39" s="1" t="s">
        <v>3515</v>
      </c>
      <c r="D39" s="1" t="s">
        <v>3516</v>
      </c>
      <c r="E39" s="1" t="s">
        <v>3517</v>
      </c>
      <c r="F39" s="1" t="s">
        <v>12</v>
      </c>
      <c r="G39" s="1" t="s">
        <v>273</v>
      </c>
      <c r="H39" s="1" t="s">
        <v>3518</v>
      </c>
      <c r="I39" s="1" t="s">
        <v>3519</v>
      </c>
      <c r="J39" s="1" t="s">
        <v>3520</v>
      </c>
      <c r="K39" s="1" t="s">
        <v>3521</v>
      </c>
      <c r="L39" s="1" t="s">
        <v>3522</v>
      </c>
      <c r="M39" s="1" t="s">
        <v>3523</v>
      </c>
      <c r="N39" s="1" t="s">
        <v>3524</v>
      </c>
      <c r="O39" s="1" t="s">
        <v>27</v>
      </c>
      <c r="P39" s="1">
        <v>2025</v>
      </c>
      <c r="Q39" s="1">
        <v>18</v>
      </c>
      <c r="R39" s="1">
        <v>12</v>
      </c>
      <c r="S39" s="1">
        <v>3173</v>
      </c>
      <c r="T39" s="1">
        <v>3200</v>
      </c>
      <c r="U39" s="1" t="s">
        <v>3525</v>
      </c>
      <c r="V39" s="1" t="str">
        <f>HYPERLINK("http://dx.doi.org/10.1007/s12273-025-1366-z","http://dx.doi.org/10.1007/s12273-025-1366-z")</f>
        <v>http://dx.doi.org/10.1007/s12273-025-1366-z</v>
      </c>
    </row>
    <row r="41" spans="1:22" ht="13.7" x14ac:dyDescent="0.4">
      <c r="A41" s="2" t="s">
        <v>178</v>
      </c>
      <c r="B41" s="2" t="s">
        <v>179</v>
      </c>
      <c r="E41" s="2"/>
      <c r="F41" s="2"/>
    </row>
    <row r="42" spans="1:22" x14ac:dyDescent="0.4">
      <c r="C42" s="1" t="s">
        <v>1904</v>
      </c>
      <c r="D42" s="1" t="s">
        <v>1905</v>
      </c>
      <c r="E42" s="1" t="s">
        <v>1906</v>
      </c>
      <c r="F42" s="1" t="s">
        <v>12</v>
      </c>
      <c r="G42" s="1" t="s">
        <v>262</v>
      </c>
      <c r="H42" s="1" t="s">
        <v>1907</v>
      </c>
      <c r="I42" s="1" t="s">
        <v>296</v>
      </c>
      <c r="J42" s="1" t="s">
        <v>1908</v>
      </c>
      <c r="K42" s="1" t="s">
        <v>1909</v>
      </c>
      <c r="L42" s="1" t="s">
        <v>1910</v>
      </c>
      <c r="M42" s="1" t="s">
        <v>1911</v>
      </c>
      <c r="N42" s="1" t="s">
        <v>1912</v>
      </c>
      <c r="O42" s="1" t="s">
        <v>27</v>
      </c>
      <c r="P42" s="1">
        <v>2025</v>
      </c>
      <c r="Q42" s="1">
        <v>18</v>
      </c>
      <c r="R42" s="1">
        <v>12</v>
      </c>
      <c r="S42" s="1">
        <v>3337</v>
      </c>
      <c r="T42" s="1">
        <v>3356</v>
      </c>
      <c r="U42" s="1" t="s">
        <v>1913</v>
      </c>
      <c r="V42" s="1" t="str">
        <f>HYPERLINK("http://dx.doi.org/10.1007/s12273-025-1374-z","http://dx.doi.org/10.1007/s12273-025-1374-z")</f>
        <v>http://dx.doi.org/10.1007/s12273-025-1374-z</v>
      </c>
    </row>
    <row r="43" spans="1:22" ht="13.7" x14ac:dyDescent="0.4">
      <c r="A43" s="2"/>
      <c r="B43" s="2"/>
      <c r="C43" s="1" t="s">
        <v>305</v>
      </c>
      <c r="D43" s="1" t="s">
        <v>17</v>
      </c>
      <c r="E43" s="1" t="s">
        <v>2079</v>
      </c>
      <c r="F43" s="1" t="s">
        <v>12</v>
      </c>
      <c r="G43" s="1" t="s">
        <v>262</v>
      </c>
      <c r="H43" s="1" t="s">
        <v>2080</v>
      </c>
      <c r="I43" s="1" t="s">
        <v>2081</v>
      </c>
      <c r="J43" s="1" t="s">
        <v>2082</v>
      </c>
      <c r="K43" s="1" t="s">
        <v>2083</v>
      </c>
      <c r="L43" s="1" t="s">
        <v>2084</v>
      </c>
      <c r="M43" s="1" t="s">
        <v>306</v>
      </c>
      <c r="N43" s="1" t="s">
        <v>279</v>
      </c>
      <c r="O43" s="1" t="s">
        <v>14</v>
      </c>
      <c r="P43" s="1">
        <v>2025</v>
      </c>
      <c r="Q43" s="1">
        <v>18</v>
      </c>
      <c r="R43" s="1">
        <v>11</v>
      </c>
      <c r="S43" s="1">
        <v>3069</v>
      </c>
      <c r="T43" s="1">
        <v>3095</v>
      </c>
      <c r="U43" s="1" t="s">
        <v>2085</v>
      </c>
      <c r="V43" s="1" t="str">
        <f>HYPERLINK("http://dx.doi.org/10.1007/s12273-025-1346-3","http://dx.doi.org/10.1007/s12273-025-1346-3")</f>
        <v>http://dx.doi.org/10.1007/s12273-025-1346-3</v>
      </c>
    </row>
    <row r="44" spans="1:22" x14ac:dyDescent="0.4">
      <c r="C44" s="1" t="s">
        <v>2181</v>
      </c>
      <c r="D44" s="1" t="s">
        <v>2182</v>
      </c>
      <c r="E44" s="1" t="s">
        <v>2183</v>
      </c>
      <c r="F44" s="1" t="s">
        <v>12</v>
      </c>
      <c r="G44" s="1" t="s">
        <v>262</v>
      </c>
      <c r="H44" s="1" t="s">
        <v>2184</v>
      </c>
      <c r="I44" s="1" t="s">
        <v>2185</v>
      </c>
      <c r="J44" s="1" t="s">
        <v>2186</v>
      </c>
      <c r="K44" s="1" t="s">
        <v>2187</v>
      </c>
      <c r="L44" s="1" t="s">
        <v>2188</v>
      </c>
      <c r="M44" s="1" t="s">
        <v>2189</v>
      </c>
      <c r="N44" s="1" t="s">
        <v>2190</v>
      </c>
      <c r="O44" s="1" t="s">
        <v>15</v>
      </c>
      <c r="P44" s="1">
        <v>2025</v>
      </c>
      <c r="Q44" s="1">
        <v>18</v>
      </c>
      <c r="R44" s="1">
        <v>10</v>
      </c>
      <c r="S44" s="1">
        <v>2723</v>
      </c>
      <c r="T44" s="1">
        <v>2739</v>
      </c>
      <c r="U44" s="1" t="s">
        <v>2191</v>
      </c>
      <c r="V44" s="1" t="str">
        <f>HYPERLINK("http://dx.doi.org/10.1007/s12273-025-1347-2","http://dx.doi.org/10.1007/s12273-025-1347-2")</f>
        <v>http://dx.doi.org/10.1007/s12273-025-1347-2</v>
      </c>
    </row>
    <row r="45" spans="1:22" x14ac:dyDescent="0.4">
      <c r="C45" s="1" t="s">
        <v>3549</v>
      </c>
      <c r="D45" s="1" t="s">
        <v>3550</v>
      </c>
      <c r="E45" s="1" t="s">
        <v>3551</v>
      </c>
      <c r="F45" s="1" t="s">
        <v>12</v>
      </c>
      <c r="G45" s="1" t="s">
        <v>273</v>
      </c>
      <c r="H45" s="1" t="s">
        <v>3552</v>
      </c>
      <c r="I45" s="1" t="s">
        <v>3553</v>
      </c>
      <c r="J45" s="1" t="s">
        <v>3554</v>
      </c>
      <c r="K45" s="1" t="s">
        <v>3555</v>
      </c>
      <c r="L45" s="1" t="s">
        <v>3556</v>
      </c>
      <c r="M45" s="1" t="s">
        <v>1548</v>
      </c>
      <c r="N45" s="1" t="s">
        <v>1549</v>
      </c>
      <c r="O45" s="1" t="s">
        <v>21</v>
      </c>
      <c r="P45" s="1">
        <v>2025</v>
      </c>
      <c r="Q45" s="1">
        <v>18</v>
      </c>
      <c r="R45" s="1">
        <v>5</v>
      </c>
      <c r="S45" s="1">
        <v>979</v>
      </c>
      <c r="T45" s="1">
        <v>998</v>
      </c>
      <c r="U45" s="1" t="s">
        <v>3557</v>
      </c>
      <c r="V45" s="1" t="str">
        <f>HYPERLINK("http://dx.doi.org/10.1007/s12273-025-1249-3","http://dx.doi.org/10.1007/s12273-025-1249-3")</f>
        <v>http://dx.doi.org/10.1007/s12273-025-1249-3</v>
      </c>
    </row>
    <row r="47" spans="1:22" ht="13.7" x14ac:dyDescent="0.4">
      <c r="A47" s="2" t="s">
        <v>191</v>
      </c>
      <c r="B47" s="2" t="s">
        <v>192</v>
      </c>
      <c r="E47" s="11"/>
      <c r="F47" s="11"/>
    </row>
    <row r="48" spans="1:22" x14ac:dyDescent="0.4">
      <c r="C48" s="1" t="s">
        <v>1939</v>
      </c>
      <c r="D48" s="1" t="s">
        <v>1940</v>
      </c>
      <c r="E48" s="1" t="s">
        <v>1941</v>
      </c>
      <c r="F48" s="1" t="s">
        <v>12</v>
      </c>
      <c r="G48" s="1" t="s">
        <v>262</v>
      </c>
      <c r="H48" s="1" t="s">
        <v>1942</v>
      </c>
      <c r="I48" s="1" t="s">
        <v>1943</v>
      </c>
      <c r="J48" s="1" t="s">
        <v>1944</v>
      </c>
      <c r="K48" s="1" t="s">
        <v>1945</v>
      </c>
      <c r="L48" s="1" t="s">
        <v>1946</v>
      </c>
      <c r="M48" s="1" t="s">
        <v>1947</v>
      </c>
      <c r="N48" s="1" t="s">
        <v>1948</v>
      </c>
      <c r="O48" s="1" t="s">
        <v>14</v>
      </c>
      <c r="P48" s="1">
        <v>2025</v>
      </c>
      <c r="Q48" s="1">
        <v>18</v>
      </c>
      <c r="R48" s="1">
        <v>11</v>
      </c>
      <c r="S48" s="1">
        <v>2985</v>
      </c>
      <c r="T48" s="1">
        <v>3010</v>
      </c>
      <c r="U48" s="1" t="s">
        <v>1949</v>
      </c>
      <c r="V48" s="1" t="str">
        <f>HYPERLINK("http://dx.doi.org/10.1007/s12273-025-1355-2","http://dx.doi.org/10.1007/s12273-025-1355-2")</f>
        <v>http://dx.doi.org/10.1007/s12273-025-1355-2</v>
      </c>
    </row>
    <row r="49" spans="1:22" x14ac:dyDescent="0.4">
      <c r="C49" s="1" t="s">
        <v>2011</v>
      </c>
      <c r="D49" s="1" t="s">
        <v>2012</v>
      </c>
      <c r="E49" s="1" t="s">
        <v>2013</v>
      </c>
      <c r="F49" s="1" t="s">
        <v>12</v>
      </c>
      <c r="G49" s="1" t="s">
        <v>262</v>
      </c>
      <c r="H49" s="1" t="s">
        <v>2014</v>
      </c>
      <c r="I49" s="1" t="s">
        <v>11</v>
      </c>
      <c r="J49" s="1" t="s">
        <v>2015</v>
      </c>
      <c r="K49" s="1" t="s">
        <v>2016</v>
      </c>
      <c r="L49" s="1" t="s">
        <v>284</v>
      </c>
      <c r="M49" s="1" t="s">
        <v>2017</v>
      </c>
      <c r="N49" s="1" t="s">
        <v>286</v>
      </c>
      <c r="O49" s="1" t="s">
        <v>15</v>
      </c>
      <c r="P49" s="1">
        <v>2025</v>
      </c>
      <c r="Q49" s="1">
        <v>18</v>
      </c>
      <c r="R49" s="1">
        <v>10</v>
      </c>
      <c r="S49" s="1">
        <v>2757</v>
      </c>
      <c r="T49" s="1">
        <v>2776</v>
      </c>
      <c r="U49" s="1" t="s">
        <v>2018</v>
      </c>
      <c r="V49" s="1" t="str">
        <f>HYPERLINK("http://dx.doi.org/10.1007/s12273-025-1336-5","http://dx.doi.org/10.1007/s12273-025-1336-5")</f>
        <v>http://dx.doi.org/10.1007/s12273-025-1336-5</v>
      </c>
    </row>
    <row r="50" spans="1:22" x14ac:dyDescent="0.4">
      <c r="C50" s="1" t="s">
        <v>2032</v>
      </c>
      <c r="D50" s="1" t="s">
        <v>2033</v>
      </c>
      <c r="E50" s="1" t="s">
        <v>2034</v>
      </c>
      <c r="F50" s="1" t="s">
        <v>12</v>
      </c>
      <c r="G50" s="1" t="s">
        <v>262</v>
      </c>
      <c r="H50" s="1" t="s">
        <v>2035</v>
      </c>
      <c r="I50" s="1" t="s">
        <v>2036</v>
      </c>
      <c r="J50" s="1" t="s">
        <v>2037</v>
      </c>
      <c r="K50" s="1" t="s">
        <v>2038</v>
      </c>
      <c r="L50" s="1" t="s">
        <v>2039</v>
      </c>
      <c r="M50" s="1" t="s">
        <v>2040</v>
      </c>
      <c r="N50" s="1" t="s">
        <v>2041</v>
      </c>
      <c r="O50" s="1" t="s">
        <v>15</v>
      </c>
      <c r="P50" s="1">
        <v>2025</v>
      </c>
      <c r="Q50" s="1">
        <v>18</v>
      </c>
      <c r="R50" s="1">
        <v>10</v>
      </c>
      <c r="S50" s="1">
        <v>2825</v>
      </c>
      <c r="T50" s="1">
        <v>2847</v>
      </c>
      <c r="U50" s="1" t="s">
        <v>2042</v>
      </c>
      <c r="V50" s="1" t="str">
        <f>HYPERLINK("http://dx.doi.org/10.1007/s12273-025-1341-8","http://dx.doi.org/10.1007/s12273-025-1341-8")</f>
        <v>http://dx.doi.org/10.1007/s12273-025-1341-8</v>
      </c>
    </row>
    <row r="51" spans="1:22" x14ac:dyDescent="0.4">
      <c r="C51" s="1" t="s">
        <v>3053</v>
      </c>
      <c r="D51" s="1" t="s">
        <v>3054</v>
      </c>
      <c r="E51" s="1" t="s">
        <v>3055</v>
      </c>
      <c r="F51" s="1" t="s">
        <v>12</v>
      </c>
      <c r="G51" s="1" t="s">
        <v>262</v>
      </c>
      <c r="H51" s="1" t="s">
        <v>3056</v>
      </c>
      <c r="I51" s="1" t="s">
        <v>3057</v>
      </c>
      <c r="J51" s="1" t="s">
        <v>3058</v>
      </c>
      <c r="K51" s="1" t="s">
        <v>3059</v>
      </c>
      <c r="L51" s="1" t="s">
        <v>3060</v>
      </c>
      <c r="M51" s="1" t="s">
        <v>3061</v>
      </c>
      <c r="N51" s="1" t="s">
        <v>3062</v>
      </c>
      <c r="O51" s="1" t="s">
        <v>23</v>
      </c>
      <c r="P51" s="1">
        <v>2025</v>
      </c>
      <c r="Q51" s="1">
        <v>18</v>
      </c>
      <c r="R51" s="1">
        <v>4</v>
      </c>
      <c r="S51" s="1">
        <v>791</v>
      </c>
      <c r="T51" s="1">
        <v>827</v>
      </c>
      <c r="U51" s="1" t="s">
        <v>3063</v>
      </c>
      <c r="V51" s="1" t="str">
        <f>HYPERLINK("http://dx.doi.org/10.1007/s12273-025-1238-6","http://dx.doi.org/10.1007/s12273-025-1238-6")</f>
        <v>http://dx.doi.org/10.1007/s12273-025-1238-6</v>
      </c>
    </row>
    <row r="53" spans="1:22" ht="13.7" x14ac:dyDescent="0.4">
      <c r="A53" s="2" t="s">
        <v>1789</v>
      </c>
      <c r="B53" s="2" t="s">
        <v>1788</v>
      </c>
    </row>
    <row r="54" spans="1:22" ht="13.7" x14ac:dyDescent="0.4">
      <c r="A54" s="2"/>
      <c r="B54" s="2"/>
      <c r="C54" s="1" t="s">
        <v>1963</v>
      </c>
      <c r="D54" s="1" t="s">
        <v>1964</v>
      </c>
      <c r="E54" s="1" t="s">
        <v>1965</v>
      </c>
      <c r="F54" s="1" t="s">
        <v>12</v>
      </c>
      <c r="G54" s="1" t="s">
        <v>262</v>
      </c>
      <c r="H54" s="1" t="s">
        <v>1966</v>
      </c>
      <c r="I54" s="1" t="s">
        <v>1967</v>
      </c>
      <c r="J54" s="1" t="s">
        <v>1968</v>
      </c>
      <c r="K54" s="1" t="s">
        <v>1969</v>
      </c>
      <c r="L54" s="1" t="s">
        <v>263</v>
      </c>
      <c r="M54" s="1" t="s">
        <v>1970</v>
      </c>
      <c r="N54" s="1" t="s">
        <v>1971</v>
      </c>
      <c r="O54" s="1" t="s">
        <v>14</v>
      </c>
      <c r="P54" s="1">
        <v>2025</v>
      </c>
      <c r="Q54" s="1">
        <v>18</v>
      </c>
      <c r="R54" s="1">
        <v>11</v>
      </c>
      <c r="S54" s="1">
        <v>2899</v>
      </c>
      <c r="T54" s="1">
        <v>2921</v>
      </c>
      <c r="U54" s="1" t="s">
        <v>1972</v>
      </c>
      <c r="V54" s="1" t="str">
        <f>HYPERLINK("http://dx.doi.org/10.1007/s12273-025-1343-6","http://dx.doi.org/10.1007/s12273-025-1343-6")</f>
        <v>http://dx.doi.org/10.1007/s12273-025-1343-6</v>
      </c>
    </row>
    <row r="55" spans="1:22" ht="13.7" x14ac:dyDescent="0.4">
      <c r="A55" s="2"/>
      <c r="B55" s="2"/>
    </row>
    <row r="56" spans="1:22" ht="13.7" x14ac:dyDescent="0.4">
      <c r="A56" s="2"/>
      <c r="B56" s="2"/>
    </row>
    <row r="57" spans="1:22" ht="13.7" x14ac:dyDescent="0.4">
      <c r="A57" s="2" t="s">
        <v>1763</v>
      </c>
      <c r="B57" s="2" t="s">
        <v>1787</v>
      </c>
    </row>
    <row r="58" spans="1:22" ht="13.7" x14ac:dyDescent="0.4">
      <c r="A58" s="2"/>
      <c r="B58" s="2"/>
      <c r="C58" s="1" t="s">
        <v>540</v>
      </c>
      <c r="D58" s="1" t="s">
        <v>541</v>
      </c>
      <c r="E58" s="1" t="s">
        <v>1786</v>
      </c>
      <c r="F58" s="1" t="s">
        <v>12</v>
      </c>
      <c r="G58" s="1" t="s">
        <v>262</v>
      </c>
      <c r="H58" s="1" t="s">
        <v>543</v>
      </c>
      <c r="I58" s="1" t="s">
        <v>544</v>
      </c>
      <c r="J58" s="1" t="s">
        <v>545</v>
      </c>
      <c r="K58" s="1" t="s">
        <v>546</v>
      </c>
      <c r="L58" s="1" t="s">
        <v>547</v>
      </c>
      <c r="M58" s="1" t="s">
        <v>548</v>
      </c>
      <c r="N58" s="1" t="s">
        <v>549</v>
      </c>
      <c r="O58" s="1" t="s">
        <v>21</v>
      </c>
      <c r="P58" s="1">
        <v>2024</v>
      </c>
      <c r="Q58" s="1">
        <v>17</v>
      </c>
      <c r="R58" s="1">
        <v>5</v>
      </c>
      <c r="S58" s="1">
        <v>799</v>
      </c>
      <c r="T58" s="1">
        <v>818</v>
      </c>
      <c r="U58" s="1" t="s">
        <v>550</v>
      </c>
      <c r="V58" s="1" t="str">
        <f>HYPERLINK("http://dx.doi.org/10.1007/s12273-023-1099-9","http://dx.doi.org/10.1007/s12273-023-1099-9")</f>
        <v>http://dx.doi.org/10.1007/s12273-023-1099-9</v>
      </c>
    </row>
    <row r="59" spans="1:22" ht="13.7" x14ac:dyDescent="0.4">
      <c r="A59" s="2"/>
      <c r="B59" s="2"/>
      <c r="C59" s="1" t="s">
        <v>1880</v>
      </c>
      <c r="D59" s="1" t="s">
        <v>1881</v>
      </c>
      <c r="E59" s="1" t="s">
        <v>1882</v>
      </c>
      <c r="F59" s="1" t="s">
        <v>12</v>
      </c>
      <c r="G59" s="1" t="s">
        <v>262</v>
      </c>
      <c r="H59" s="1" t="s">
        <v>1883</v>
      </c>
      <c r="I59" s="1" t="s">
        <v>1884</v>
      </c>
      <c r="J59" s="1" t="s">
        <v>1885</v>
      </c>
      <c r="K59" s="1" t="s">
        <v>1886</v>
      </c>
      <c r="L59" s="1" t="s">
        <v>1887</v>
      </c>
      <c r="M59" s="1" t="s">
        <v>1888</v>
      </c>
      <c r="N59" s="1" t="s">
        <v>1889</v>
      </c>
      <c r="O59" s="1" t="s">
        <v>27</v>
      </c>
      <c r="P59" s="1">
        <v>2025</v>
      </c>
      <c r="Q59" s="1">
        <v>18</v>
      </c>
      <c r="R59" s="1">
        <v>12</v>
      </c>
      <c r="S59" s="1">
        <v>3247</v>
      </c>
      <c r="T59" s="1">
        <v>3260</v>
      </c>
      <c r="U59" s="1" t="s">
        <v>1890</v>
      </c>
      <c r="V59" s="1" t="str">
        <f>HYPERLINK("http://dx.doi.org/10.1007/s12273-025-1378-8","http://dx.doi.org/10.1007/s12273-025-1378-8")</f>
        <v>http://dx.doi.org/10.1007/s12273-025-1378-8</v>
      </c>
    </row>
    <row r="60" spans="1:22" x14ac:dyDescent="0.4">
      <c r="A60" s="10"/>
      <c r="B60" s="10"/>
      <c r="C60" s="1" t="s">
        <v>1915</v>
      </c>
      <c r="D60" s="1" t="s">
        <v>1916</v>
      </c>
      <c r="E60" s="1" t="s">
        <v>1917</v>
      </c>
      <c r="F60" s="1" t="s">
        <v>12</v>
      </c>
      <c r="G60" s="1" t="s">
        <v>262</v>
      </c>
      <c r="H60" s="1" t="s">
        <v>1918</v>
      </c>
      <c r="I60" s="1" t="s">
        <v>1919</v>
      </c>
      <c r="J60" s="1" t="s">
        <v>1920</v>
      </c>
      <c r="K60" s="1" t="s">
        <v>1921</v>
      </c>
      <c r="L60" s="1" t="s">
        <v>1922</v>
      </c>
      <c r="M60" s="1" t="s">
        <v>1923</v>
      </c>
      <c r="N60" s="1" t="s">
        <v>1924</v>
      </c>
      <c r="O60" s="1" t="s">
        <v>14</v>
      </c>
      <c r="P60" s="1">
        <v>2025</v>
      </c>
      <c r="Q60" s="1">
        <v>18</v>
      </c>
      <c r="R60" s="1">
        <v>11</v>
      </c>
      <c r="S60" s="1">
        <v>2963</v>
      </c>
      <c r="T60" s="1">
        <v>2983</v>
      </c>
      <c r="U60" s="1" t="s">
        <v>1925</v>
      </c>
      <c r="V60" s="1" t="str">
        <f>HYPERLINK("http://dx.doi.org/10.1007/s12273-025-1353-4","http://dx.doi.org/10.1007/s12273-025-1353-4")</f>
        <v>http://dx.doi.org/10.1007/s12273-025-1353-4</v>
      </c>
    </row>
    <row r="61" spans="1:22" x14ac:dyDescent="0.4">
      <c r="C61" s="1" t="s">
        <v>1987</v>
      </c>
      <c r="D61" s="1" t="s">
        <v>1988</v>
      </c>
      <c r="E61" s="1" t="s">
        <v>1989</v>
      </c>
      <c r="F61" s="1" t="s">
        <v>12</v>
      </c>
      <c r="G61" s="1" t="s">
        <v>262</v>
      </c>
      <c r="H61" s="1" t="s">
        <v>1990</v>
      </c>
      <c r="I61" s="1" t="s">
        <v>1991</v>
      </c>
      <c r="J61" s="1" t="s">
        <v>1992</v>
      </c>
      <c r="K61" s="1" t="s">
        <v>1993</v>
      </c>
      <c r="L61" s="1" t="s">
        <v>1994</v>
      </c>
      <c r="M61" s="1" t="s">
        <v>1995</v>
      </c>
      <c r="N61" s="1" t="s">
        <v>690</v>
      </c>
      <c r="O61" s="1" t="s">
        <v>14</v>
      </c>
      <c r="P61" s="1">
        <v>2025</v>
      </c>
      <c r="Q61" s="1">
        <v>18</v>
      </c>
      <c r="R61" s="1">
        <v>11</v>
      </c>
      <c r="S61" s="1">
        <v>3031</v>
      </c>
      <c r="T61" s="1">
        <v>3043</v>
      </c>
      <c r="U61" s="1" t="s">
        <v>1996</v>
      </c>
      <c r="V61" s="1" t="str">
        <f>HYPERLINK("http://dx.doi.org/10.1007/s12273-025-1361-4","http://dx.doi.org/10.1007/s12273-025-1361-4")</f>
        <v>http://dx.doi.org/10.1007/s12273-025-1361-4</v>
      </c>
    </row>
    <row r="62" spans="1:22" x14ac:dyDescent="0.4">
      <c r="C62" s="1" t="s">
        <v>2997</v>
      </c>
      <c r="D62" s="1" t="s">
        <v>2998</v>
      </c>
      <c r="E62" s="1" t="s">
        <v>2999</v>
      </c>
      <c r="F62" s="1" t="s">
        <v>12</v>
      </c>
      <c r="G62" s="1" t="s">
        <v>262</v>
      </c>
      <c r="H62" s="1" t="s">
        <v>3000</v>
      </c>
      <c r="I62" s="1" t="s">
        <v>3001</v>
      </c>
      <c r="J62" s="1" t="s">
        <v>3002</v>
      </c>
      <c r="K62" s="1" t="s">
        <v>3003</v>
      </c>
      <c r="L62" s="1" t="s">
        <v>3004</v>
      </c>
      <c r="M62" s="1" t="s">
        <v>3005</v>
      </c>
      <c r="N62" s="1" t="s">
        <v>3006</v>
      </c>
      <c r="O62" s="1" t="s">
        <v>21</v>
      </c>
      <c r="P62" s="1">
        <v>2025</v>
      </c>
      <c r="Q62" s="1">
        <v>18</v>
      </c>
      <c r="R62" s="1">
        <v>5</v>
      </c>
      <c r="S62" s="1">
        <v>1043</v>
      </c>
      <c r="T62" s="1">
        <v>1063</v>
      </c>
      <c r="U62" s="1" t="s">
        <v>3007</v>
      </c>
      <c r="V62" s="1" t="str">
        <f>HYPERLINK("http://dx.doi.org/10.1007/s12273-025-1247-5","http://dx.doi.org/10.1007/s12273-025-1247-5")</f>
        <v>http://dx.doi.org/10.1007/s12273-025-1247-5</v>
      </c>
    </row>
    <row r="64" spans="1:22" ht="13.7" x14ac:dyDescent="0.4">
      <c r="A64" s="2" t="s">
        <v>1764</v>
      </c>
      <c r="B64" s="2" t="s">
        <v>1785</v>
      </c>
    </row>
    <row r="65" spans="1:22" ht="13.7" x14ac:dyDescent="0.4">
      <c r="A65" s="2"/>
      <c r="B65" s="2"/>
      <c r="C65" s="1" t="s">
        <v>564</v>
      </c>
      <c r="D65" s="1" t="s">
        <v>565</v>
      </c>
      <c r="E65" s="1" t="s">
        <v>1784</v>
      </c>
      <c r="F65" s="1" t="s">
        <v>12</v>
      </c>
      <c r="G65" s="1" t="s">
        <v>262</v>
      </c>
      <c r="H65" s="1" t="s">
        <v>567</v>
      </c>
      <c r="I65" s="1" t="s">
        <v>568</v>
      </c>
      <c r="J65" s="1" t="s">
        <v>569</v>
      </c>
      <c r="K65" s="1" t="s">
        <v>570</v>
      </c>
      <c r="L65" s="1" t="s">
        <v>571</v>
      </c>
      <c r="M65" s="1" t="s">
        <v>572</v>
      </c>
      <c r="N65" s="1" t="s">
        <v>573</v>
      </c>
      <c r="O65" s="1" t="s">
        <v>21</v>
      </c>
      <c r="P65" s="1">
        <v>2024</v>
      </c>
      <c r="Q65" s="1">
        <v>17</v>
      </c>
      <c r="R65" s="1">
        <v>5</v>
      </c>
      <c r="S65" s="1">
        <v>839</v>
      </c>
      <c r="T65" s="1">
        <v>855</v>
      </c>
      <c r="U65" s="1" t="s">
        <v>574</v>
      </c>
      <c r="V65" s="1" t="str">
        <f>HYPERLINK("http://dx.doi.org/10.1007/s12273-024-1114-9","http://dx.doi.org/10.1007/s12273-024-1114-9")</f>
        <v>http://dx.doi.org/10.1007/s12273-024-1114-9</v>
      </c>
    </row>
    <row r="67" spans="1:22" x14ac:dyDescent="0.4">
      <c r="A67" s="1" t="s">
        <v>114</v>
      </c>
      <c r="B67" s="1" t="s">
        <v>115</v>
      </c>
    </row>
    <row r="68" spans="1:22" x14ac:dyDescent="0.4">
      <c r="C68" s="1" t="s">
        <v>2044</v>
      </c>
      <c r="D68" s="1" t="s">
        <v>2045</v>
      </c>
      <c r="E68" s="1" t="s">
        <v>2046</v>
      </c>
      <c r="F68" s="1" t="s">
        <v>12</v>
      </c>
      <c r="G68" s="1" t="s">
        <v>262</v>
      </c>
      <c r="H68" s="1" t="s">
        <v>2047</v>
      </c>
      <c r="I68" s="1" t="s">
        <v>2048</v>
      </c>
      <c r="J68" s="1" t="s">
        <v>2049</v>
      </c>
      <c r="K68" s="1" t="s">
        <v>2050</v>
      </c>
      <c r="L68" s="1" t="s">
        <v>2051</v>
      </c>
      <c r="M68" s="1" t="s">
        <v>2052</v>
      </c>
      <c r="N68" s="1" t="s">
        <v>2053</v>
      </c>
      <c r="O68" s="1" t="s">
        <v>27</v>
      </c>
      <c r="P68" s="1">
        <v>2025</v>
      </c>
      <c r="Q68" s="1">
        <v>18</v>
      </c>
      <c r="R68" s="1">
        <v>12</v>
      </c>
      <c r="S68" s="1">
        <v>3153</v>
      </c>
      <c r="T68" s="1">
        <v>3171</v>
      </c>
      <c r="U68" s="1" t="s">
        <v>2054</v>
      </c>
      <c r="V68" s="1" t="str">
        <f>HYPERLINK("http://dx.doi.org/10.1007/s12273-025-1363-2","http://dx.doi.org/10.1007/s12273-025-1363-2")</f>
        <v>http://dx.doi.org/10.1007/s12273-025-1363-2</v>
      </c>
    </row>
    <row r="69" spans="1:22" x14ac:dyDescent="0.4">
      <c r="C69" s="1" t="s">
        <v>2495</v>
      </c>
      <c r="D69" s="1" t="s">
        <v>2496</v>
      </c>
      <c r="E69" s="1" t="s">
        <v>2497</v>
      </c>
      <c r="F69" s="1" t="s">
        <v>12</v>
      </c>
      <c r="G69" s="1" t="s">
        <v>262</v>
      </c>
      <c r="H69" s="1" t="s">
        <v>2498</v>
      </c>
      <c r="I69" s="1" t="s">
        <v>2499</v>
      </c>
      <c r="J69" s="1" t="s">
        <v>2500</v>
      </c>
      <c r="K69" s="1" t="s">
        <v>2501</v>
      </c>
      <c r="L69" s="1" t="s">
        <v>2502</v>
      </c>
      <c r="M69" s="1" t="s">
        <v>2503</v>
      </c>
      <c r="N69" s="1" t="s">
        <v>2504</v>
      </c>
      <c r="O69" s="1" t="s">
        <v>16</v>
      </c>
      <c r="P69" s="1">
        <v>2025</v>
      </c>
      <c r="Q69" s="1">
        <v>18</v>
      </c>
      <c r="R69" s="1">
        <v>9</v>
      </c>
      <c r="S69" s="1">
        <v>2293</v>
      </c>
      <c r="T69" s="1">
        <v>2321</v>
      </c>
      <c r="U69" s="1" t="s">
        <v>2505</v>
      </c>
      <c r="V69" s="1" t="str">
        <f>HYPERLINK("http://dx.doi.org/10.1007/s12273-025-1315-x","http://dx.doi.org/10.1007/s12273-025-1315-x")</f>
        <v>http://dx.doi.org/10.1007/s12273-025-1315-x</v>
      </c>
    </row>
    <row r="70" spans="1:22" ht="13.7" x14ac:dyDescent="0.4">
      <c r="A70" s="2"/>
      <c r="B70" s="2"/>
      <c r="C70" s="1" t="s">
        <v>2588</v>
      </c>
      <c r="D70" s="1" t="s">
        <v>2589</v>
      </c>
      <c r="E70" s="1" t="s">
        <v>2590</v>
      </c>
      <c r="F70" s="1" t="s">
        <v>12</v>
      </c>
      <c r="G70" s="1" t="s">
        <v>262</v>
      </c>
      <c r="H70" s="1" t="s">
        <v>2591</v>
      </c>
      <c r="I70" s="1" t="s">
        <v>2592</v>
      </c>
      <c r="J70" s="1" t="s">
        <v>2593</v>
      </c>
      <c r="K70" s="1" t="s">
        <v>2594</v>
      </c>
      <c r="L70" s="1" t="s">
        <v>2595</v>
      </c>
      <c r="M70" s="1" t="s">
        <v>2596</v>
      </c>
      <c r="N70" s="1" t="s">
        <v>2597</v>
      </c>
      <c r="O70" s="1" t="s">
        <v>19</v>
      </c>
      <c r="P70" s="1">
        <v>2025</v>
      </c>
      <c r="Q70" s="1">
        <v>18</v>
      </c>
      <c r="R70" s="1">
        <v>8</v>
      </c>
      <c r="S70" s="1">
        <v>2175</v>
      </c>
      <c r="T70" s="1">
        <v>2199</v>
      </c>
      <c r="U70" s="1" t="s">
        <v>2598</v>
      </c>
      <c r="V70" s="1" t="str">
        <f>HYPERLINK("http://dx.doi.org/10.1007/s12273-025-1301-3","http://dx.doi.org/10.1007/s12273-025-1301-3")</f>
        <v>http://dx.doi.org/10.1007/s12273-025-1301-3</v>
      </c>
    </row>
    <row r="71" spans="1:22" ht="13.7" x14ac:dyDescent="0.4">
      <c r="A71" s="2"/>
      <c r="B71" s="2"/>
    </row>
    <row r="72" spans="1:22" x14ac:dyDescent="0.4">
      <c r="A72" s="1" t="s">
        <v>152</v>
      </c>
      <c r="B72" s="1" t="s">
        <v>153</v>
      </c>
    </row>
    <row r="73" spans="1:22" x14ac:dyDescent="0.4">
      <c r="C73" s="1" t="s">
        <v>3574</v>
      </c>
      <c r="D73" s="1" t="s">
        <v>2069</v>
      </c>
      <c r="E73" s="1" t="s">
        <v>2070</v>
      </c>
      <c r="F73" s="1" t="s">
        <v>12</v>
      </c>
      <c r="G73" s="1" t="s">
        <v>262</v>
      </c>
      <c r="H73" s="1" t="s">
        <v>2071</v>
      </c>
      <c r="I73" s="1" t="s">
        <v>2072</v>
      </c>
      <c r="J73" s="1" t="s">
        <v>2073</v>
      </c>
      <c r="K73" s="1" t="s">
        <v>2074</v>
      </c>
      <c r="L73" s="1" t="s">
        <v>355</v>
      </c>
      <c r="M73" s="1" t="s">
        <v>2075</v>
      </c>
      <c r="N73" s="1" t="s">
        <v>2076</v>
      </c>
      <c r="O73" s="1" t="s">
        <v>14</v>
      </c>
      <c r="P73" s="1">
        <v>2025</v>
      </c>
      <c r="Q73" s="1">
        <v>18</v>
      </c>
      <c r="R73" s="1">
        <v>11</v>
      </c>
      <c r="S73" s="1">
        <v>3097</v>
      </c>
      <c r="T73" s="1">
        <v>3118</v>
      </c>
      <c r="U73" s="1" t="s">
        <v>2077</v>
      </c>
      <c r="V73" s="1" t="str">
        <f>HYPERLINK("http://dx.doi.org/10.1007/s12273-025-1350-7","http://dx.doi.org/10.1007/s12273-025-1350-7")</f>
        <v>http://dx.doi.org/10.1007/s12273-025-1350-7</v>
      </c>
    </row>
    <row r="74" spans="1:22" x14ac:dyDescent="0.4">
      <c r="C74" s="1" t="s">
        <v>2325</v>
      </c>
      <c r="D74" s="1" t="s">
        <v>2326</v>
      </c>
      <c r="E74" s="1" t="s">
        <v>2327</v>
      </c>
      <c r="F74" s="1" t="s">
        <v>12</v>
      </c>
      <c r="G74" s="1" t="s">
        <v>262</v>
      </c>
      <c r="H74" s="1" t="s">
        <v>2328</v>
      </c>
      <c r="I74" s="1" t="s">
        <v>2329</v>
      </c>
      <c r="J74" s="1" t="s">
        <v>2330</v>
      </c>
      <c r="K74" s="1" t="s">
        <v>2331</v>
      </c>
      <c r="L74" s="1" t="s">
        <v>392</v>
      </c>
      <c r="M74" s="1" t="s">
        <v>2332</v>
      </c>
      <c r="N74" s="1" t="s">
        <v>2333</v>
      </c>
      <c r="O74" s="1" t="s">
        <v>15</v>
      </c>
      <c r="P74" s="1">
        <v>2025</v>
      </c>
      <c r="Q74" s="1">
        <v>18</v>
      </c>
      <c r="R74" s="1">
        <v>10</v>
      </c>
      <c r="S74" s="1">
        <v>2777</v>
      </c>
      <c r="T74" s="1">
        <v>2805</v>
      </c>
      <c r="U74" s="1" t="s">
        <v>2334</v>
      </c>
      <c r="V74" s="1" t="str">
        <f>HYPERLINK("http://dx.doi.org/10.1007/s12273-025-1337-4","http://dx.doi.org/10.1007/s12273-025-1337-4")</f>
        <v>http://dx.doi.org/10.1007/s12273-025-1337-4</v>
      </c>
    </row>
    <row r="75" spans="1:22" x14ac:dyDescent="0.4">
      <c r="C75" s="1" t="s">
        <v>3156</v>
      </c>
      <c r="D75" s="1" t="s">
        <v>3157</v>
      </c>
      <c r="E75" s="1" t="s">
        <v>3158</v>
      </c>
      <c r="F75" s="1" t="s">
        <v>12</v>
      </c>
      <c r="G75" s="1" t="s">
        <v>262</v>
      </c>
      <c r="H75" s="1" t="s">
        <v>3159</v>
      </c>
      <c r="I75" s="1" t="s">
        <v>3160</v>
      </c>
      <c r="J75" s="1" t="s">
        <v>3161</v>
      </c>
      <c r="K75" s="1" t="s">
        <v>3162</v>
      </c>
      <c r="L75" s="1" t="s">
        <v>3163</v>
      </c>
      <c r="M75" s="1" t="s">
        <v>2332</v>
      </c>
      <c r="N75" s="1" t="s">
        <v>2333</v>
      </c>
      <c r="O75" s="1" t="s">
        <v>23</v>
      </c>
      <c r="P75" s="1">
        <v>2025</v>
      </c>
      <c r="Q75" s="1">
        <v>18</v>
      </c>
      <c r="R75" s="1">
        <v>4</v>
      </c>
      <c r="S75" s="1">
        <v>699</v>
      </c>
      <c r="T75" s="1">
        <v>720</v>
      </c>
      <c r="U75" s="1" t="s">
        <v>3164</v>
      </c>
      <c r="V75" s="1" t="str">
        <f>HYPERLINK("http://dx.doi.org/10.1007/s12273-025-1246-6","http://dx.doi.org/10.1007/s12273-025-1246-6")</f>
        <v>http://dx.doi.org/10.1007/s12273-025-1246-6</v>
      </c>
    </row>
    <row r="76" spans="1:22" x14ac:dyDescent="0.4">
      <c r="C76" s="1" t="s">
        <v>3302</v>
      </c>
      <c r="D76" s="1" t="s">
        <v>3303</v>
      </c>
      <c r="E76" s="1" t="s">
        <v>3304</v>
      </c>
      <c r="F76" s="1" t="s">
        <v>12</v>
      </c>
      <c r="G76" s="1" t="s">
        <v>262</v>
      </c>
      <c r="H76" s="1" t="s">
        <v>3305</v>
      </c>
      <c r="I76" s="1" t="s">
        <v>3306</v>
      </c>
      <c r="J76" s="1" t="s">
        <v>3307</v>
      </c>
      <c r="K76" s="1" t="s">
        <v>3308</v>
      </c>
      <c r="L76" s="1" t="s">
        <v>3309</v>
      </c>
      <c r="M76" s="1" t="s">
        <v>3310</v>
      </c>
      <c r="N76" s="1" t="s">
        <v>3311</v>
      </c>
      <c r="O76" s="1" t="s">
        <v>25</v>
      </c>
      <c r="P76" s="1">
        <v>2025</v>
      </c>
      <c r="Q76" s="1">
        <v>18</v>
      </c>
      <c r="R76" s="1">
        <v>3</v>
      </c>
      <c r="S76" s="1">
        <v>679</v>
      </c>
      <c r="T76" s="1">
        <v>698</v>
      </c>
      <c r="U76" s="1" t="s">
        <v>3312</v>
      </c>
      <c r="V76" s="1" t="str">
        <f>HYPERLINK("http://dx.doi.org/10.1007/s12273-025-1237-7","http://dx.doi.org/10.1007/s12273-025-1237-7")</f>
        <v>http://dx.doi.org/10.1007/s12273-025-1237-7</v>
      </c>
    </row>
    <row r="77" spans="1:22" x14ac:dyDescent="0.4">
      <c r="C77" s="1" t="s">
        <v>3470</v>
      </c>
      <c r="D77" s="1" t="s">
        <v>3471</v>
      </c>
      <c r="E77" s="1" t="s">
        <v>3472</v>
      </c>
      <c r="F77" s="1" t="s">
        <v>12</v>
      </c>
      <c r="G77" s="1" t="s">
        <v>268</v>
      </c>
      <c r="H77" s="1" t="s">
        <v>3473</v>
      </c>
      <c r="I77" s="1" t="s">
        <v>3474</v>
      </c>
      <c r="J77" s="1" t="s">
        <v>3475</v>
      </c>
      <c r="K77" s="1" t="s">
        <v>3476</v>
      </c>
      <c r="L77" s="1" t="s">
        <v>3477</v>
      </c>
      <c r="M77" s="1" t="s">
        <v>1522</v>
      </c>
      <c r="N77" s="1" t="s">
        <v>1523</v>
      </c>
      <c r="O77" s="1" t="s">
        <v>16</v>
      </c>
      <c r="P77" s="1">
        <v>2025</v>
      </c>
      <c r="Q77" s="1">
        <v>18</v>
      </c>
      <c r="R77" s="1">
        <v>9</v>
      </c>
      <c r="S77" s="1">
        <v>2219</v>
      </c>
      <c r="T77" s="1">
        <v>2225</v>
      </c>
      <c r="U77" s="1" t="s">
        <v>3478</v>
      </c>
      <c r="V77" s="1" t="str">
        <f>HYPERLINK("http://dx.doi.org/10.1007/s12273-025-1329-4","http://dx.doi.org/10.1007/s12273-025-1329-4")</f>
        <v>http://dx.doi.org/10.1007/s12273-025-1329-4</v>
      </c>
    </row>
    <row r="78" spans="1:22" x14ac:dyDescent="0.4">
      <c r="C78" s="1" t="s">
        <v>3537</v>
      </c>
      <c r="D78" s="1" t="s">
        <v>3538</v>
      </c>
      <c r="E78" s="1" t="s">
        <v>3539</v>
      </c>
      <c r="F78" s="1" t="s">
        <v>12</v>
      </c>
      <c r="G78" s="1" t="s">
        <v>273</v>
      </c>
      <c r="H78" s="1" t="s">
        <v>3540</v>
      </c>
      <c r="I78" s="1" t="s">
        <v>3541</v>
      </c>
      <c r="J78" s="1" t="s">
        <v>3542</v>
      </c>
      <c r="K78" s="1" t="s">
        <v>3543</v>
      </c>
      <c r="L78" s="1" t="s">
        <v>3544</v>
      </c>
      <c r="M78" s="1" t="s">
        <v>3545</v>
      </c>
      <c r="N78" s="1" t="s">
        <v>3546</v>
      </c>
      <c r="O78" s="1" t="s">
        <v>22</v>
      </c>
      <c r="P78" s="1">
        <v>2025</v>
      </c>
      <c r="Q78" s="1">
        <v>18</v>
      </c>
      <c r="R78" s="1">
        <v>6</v>
      </c>
      <c r="S78" s="1">
        <v>1251</v>
      </c>
      <c r="T78" s="1">
        <v>1273</v>
      </c>
      <c r="U78" s="1" t="s">
        <v>3547</v>
      </c>
      <c r="V78" s="1" t="str">
        <f>HYPERLINK("http://dx.doi.org/10.1007/s12273-025-1279-x","http://dx.doi.org/10.1007/s12273-025-1279-x")</f>
        <v>http://dx.doi.org/10.1007/s12273-025-1279-x</v>
      </c>
    </row>
    <row r="80" spans="1:22" x14ac:dyDescent="0.4">
      <c r="A80" s="1" t="s">
        <v>3575</v>
      </c>
      <c r="B80" s="1" t="s">
        <v>3576</v>
      </c>
    </row>
    <row r="81" spans="1:22" x14ac:dyDescent="0.4">
      <c r="C81" s="1" t="s">
        <v>2987</v>
      </c>
      <c r="D81" s="1" t="s">
        <v>2988</v>
      </c>
      <c r="E81" s="1" t="s">
        <v>2989</v>
      </c>
      <c r="F81" s="1" t="s">
        <v>12</v>
      </c>
      <c r="G81" s="1" t="s">
        <v>262</v>
      </c>
      <c r="H81" s="1" t="s">
        <v>2990</v>
      </c>
      <c r="I81" s="1" t="s">
        <v>2991</v>
      </c>
      <c r="J81" s="1" t="s">
        <v>2992</v>
      </c>
      <c r="K81" s="1" t="s">
        <v>2993</v>
      </c>
      <c r="L81" s="1" t="s">
        <v>2994</v>
      </c>
      <c r="M81" s="1" t="s">
        <v>986</v>
      </c>
      <c r="N81" s="1" t="s">
        <v>987</v>
      </c>
      <c r="O81" s="1" t="s">
        <v>22</v>
      </c>
      <c r="P81" s="1">
        <v>2025</v>
      </c>
      <c r="Q81" s="1">
        <v>18</v>
      </c>
      <c r="R81" s="1">
        <v>6</v>
      </c>
      <c r="S81" s="1">
        <v>1453</v>
      </c>
      <c r="T81" s="1">
        <v>1466</v>
      </c>
      <c r="U81" s="1" t="s">
        <v>2995</v>
      </c>
      <c r="V81" s="1" t="str">
        <f>HYPERLINK("http://dx.doi.org/10.1007/s12273-025-1276-0","http://dx.doi.org/10.1007/s12273-025-1276-0")</f>
        <v>http://dx.doi.org/10.1007/s12273-025-1276-0</v>
      </c>
    </row>
    <row r="83" spans="1:22" x14ac:dyDescent="0.4">
      <c r="A83" s="1" t="s">
        <v>3580</v>
      </c>
      <c r="B83" s="1" t="s">
        <v>3581</v>
      </c>
    </row>
    <row r="84" spans="1:22" x14ac:dyDescent="0.4">
      <c r="C84" s="1" t="s">
        <v>3502</v>
      </c>
      <c r="D84" s="1" t="s">
        <v>3503</v>
      </c>
      <c r="E84" s="1" t="s">
        <v>3504</v>
      </c>
      <c r="F84" s="1" t="s">
        <v>12</v>
      </c>
      <c r="G84" s="1" t="s">
        <v>268</v>
      </c>
      <c r="H84" s="1" t="s">
        <v>3505</v>
      </c>
      <c r="I84" s="1" t="s">
        <v>11</v>
      </c>
      <c r="J84" s="1" t="s">
        <v>3506</v>
      </c>
      <c r="K84" s="1" t="s">
        <v>3507</v>
      </c>
      <c r="L84" s="1" t="s">
        <v>3508</v>
      </c>
      <c r="M84" s="1" t="s">
        <v>3509</v>
      </c>
      <c r="N84" s="1" t="s">
        <v>3510</v>
      </c>
      <c r="O84" s="1" t="s">
        <v>26</v>
      </c>
      <c r="P84" s="1">
        <v>2025</v>
      </c>
      <c r="Q84" s="1">
        <v>18</v>
      </c>
      <c r="R84" s="1">
        <v>2</v>
      </c>
      <c r="S84" s="1">
        <v>225</v>
      </c>
      <c r="T84" s="1">
        <v>234</v>
      </c>
      <c r="U84" s="1" t="s">
        <v>3511</v>
      </c>
      <c r="V84" s="1" t="str">
        <f>HYPERLINK("http://dx.doi.org/10.1007/s12273-025-1235-9","http://dx.doi.org/10.1007/s12273-025-1235-9")</f>
        <v>http://dx.doi.org/10.1007/s12273-025-1235-9</v>
      </c>
    </row>
    <row r="85" spans="1:22" ht="13.7" x14ac:dyDescent="0.4">
      <c r="A85" s="2"/>
      <c r="B85" s="2"/>
      <c r="C85" s="1" t="s">
        <v>3491</v>
      </c>
      <c r="D85" s="1" t="s">
        <v>3492</v>
      </c>
      <c r="E85" s="1" t="s">
        <v>3493</v>
      </c>
      <c r="F85" s="1" t="s">
        <v>12</v>
      </c>
      <c r="G85" s="1" t="s">
        <v>268</v>
      </c>
      <c r="H85" s="1" t="s">
        <v>3494</v>
      </c>
      <c r="I85" s="1" t="s">
        <v>11</v>
      </c>
      <c r="J85" s="1" t="s">
        <v>3495</v>
      </c>
      <c r="K85" s="1" t="s">
        <v>3496</v>
      </c>
      <c r="L85" s="1" t="s">
        <v>3497</v>
      </c>
      <c r="M85" s="1" t="s">
        <v>3498</v>
      </c>
      <c r="N85" s="1" t="s">
        <v>3499</v>
      </c>
      <c r="O85" s="1" t="s">
        <v>20</v>
      </c>
      <c r="P85" s="1">
        <v>2025</v>
      </c>
      <c r="Q85" s="1">
        <v>18</v>
      </c>
      <c r="R85" s="1">
        <v>7</v>
      </c>
      <c r="S85" s="1">
        <v>1581</v>
      </c>
      <c r="T85" s="1">
        <v>1585</v>
      </c>
      <c r="U85" s="1" t="s">
        <v>3500</v>
      </c>
      <c r="V85" s="1" t="str">
        <f>HYPERLINK("http://dx.doi.org/10.1007/s12273-025-1314-y","http://dx.doi.org/10.1007/s12273-025-1314-y")</f>
        <v>http://dx.doi.org/10.1007/s12273-025-1314-y</v>
      </c>
    </row>
  </sheetData>
  <phoneticPr fontId="2" type="noConversion"/>
  <conditionalFormatting sqref="U1">
    <cfRule type="duplicateValues" dxfId="60" priority="56" stopIfTrue="1"/>
  </conditionalFormatting>
  <conditionalFormatting sqref="U3">
    <cfRule type="duplicateValues" dxfId="59" priority="60" stopIfTrue="1"/>
  </conditionalFormatting>
  <conditionalFormatting sqref="U4">
    <cfRule type="duplicateValues" dxfId="58" priority="57" stopIfTrue="1"/>
  </conditionalFormatting>
  <conditionalFormatting sqref="U5">
    <cfRule type="duplicateValues" dxfId="57" priority="54" stopIfTrue="1"/>
  </conditionalFormatting>
  <conditionalFormatting sqref="U6">
    <cfRule type="duplicateValues" dxfId="56" priority="53" stopIfTrue="1"/>
  </conditionalFormatting>
  <conditionalFormatting sqref="U7">
    <cfRule type="duplicateValues" dxfId="55" priority="45" stopIfTrue="1"/>
  </conditionalFormatting>
  <conditionalFormatting sqref="U8">
    <cfRule type="duplicateValues" dxfId="54" priority="40" stopIfTrue="1"/>
  </conditionalFormatting>
  <conditionalFormatting sqref="U9">
    <cfRule type="duplicateValues" dxfId="53" priority="37" stopIfTrue="1"/>
  </conditionalFormatting>
  <conditionalFormatting sqref="U10">
    <cfRule type="duplicateValues" dxfId="52" priority="34" stopIfTrue="1"/>
  </conditionalFormatting>
  <conditionalFormatting sqref="U11">
    <cfRule type="duplicateValues" dxfId="51" priority="33" stopIfTrue="1"/>
  </conditionalFormatting>
  <conditionalFormatting sqref="U12">
    <cfRule type="duplicateValues" dxfId="50" priority="25" stopIfTrue="1"/>
  </conditionalFormatting>
  <conditionalFormatting sqref="U13">
    <cfRule type="duplicateValues" dxfId="49" priority="24" stopIfTrue="1"/>
  </conditionalFormatting>
  <conditionalFormatting sqref="U14">
    <cfRule type="duplicateValues" dxfId="48" priority="23" stopIfTrue="1"/>
  </conditionalFormatting>
  <conditionalFormatting sqref="U15">
    <cfRule type="duplicateValues" dxfId="47" priority="16" stopIfTrue="1"/>
  </conditionalFormatting>
  <conditionalFormatting sqref="U16">
    <cfRule type="duplicateValues" dxfId="46" priority="11" stopIfTrue="1"/>
  </conditionalFormatting>
  <conditionalFormatting sqref="U17">
    <cfRule type="duplicateValues" dxfId="45" priority="8" stopIfTrue="1"/>
  </conditionalFormatting>
  <conditionalFormatting sqref="U20">
    <cfRule type="duplicateValues" dxfId="44" priority="58" stopIfTrue="1"/>
  </conditionalFormatting>
  <conditionalFormatting sqref="U21">
    <cfRule type="duplicateValues" dxfId="43" priority="36" stopIfTrue="1"/>
  </conditionalFormatting>
  <conditionalFormatting sqref="U22">
    <cfRule type="duplicateValues" dxfId="42" priority="32" stopIfTrue="1"/>
  </conditionalFormatting>
  <conditionalFormatting sqref="U23">
    <cfRule type="duplicateValues" dxfId="41" priority="26" stopIfTrue="1"/>
  </conditionalFormatting>
  <conditionalFormatting sqref="U24">
    <cfRule type="duplicateValues" dxfId="40" priority="17" stopIfTrue="1"/>
  </conditionalFormatting>
  <conditionalFormatting sqref="U25">
    <cfRule type="duplicateValues" dxfId="39" priority="13" stopIfTrue="1"/>
  </conditionalFormatting>
  <conditionalFormatting sqref="U26">
    <cfRule type="duplicateValues" dxfId="38" priority="12" stopIfTrue="1"/>
  </conditionalFormatting>
  <conditionalFormatting sqref="U27">
    <cfRule type="duplicateValues" dxfId="37" priority="9" stopIfTrue="1"/>
  </conditionalFormatting>
  <conditionalFormatting sqref="U28:U29">
    <cfRule type="duplicateValues" dxfId="36" priority="3" stopIfTrue="1"/>
  </conditionalFormatting>
  <conditionalFormatting sqref="U31">
    <cfRule type="duplicateValues" dxfId="35" priority="55" stopIfTrue="1"/>
  </conditionalFormatting>
  <conditionalFormatting sqref="U32">
    <cfRule type="duplicateValues" dxfId="34" priority="39" stopIfTrue="1"/>
  </conditionalFormatting>
  <conditionalFormatting sqref="U33">
    <cfRule type="duplicateValues" dxfId="33" priority="31" stopIfTrue="1"/>
  </conditionalFormatting>
  <conditionalFormatting sqref="U34">
    <cfRule type="duplicateValues" dxfId="32" priority="28" stopIfTrue="1"/>
  </conditionalFormatting>
  <conditionalFormatting sqref="U35">
    <cfRule type="duplicateValues" dxfId="31" priority="27" stopIfTrue="1"/>
  </conditionalFormatting>
  <conditionalFormatting sqref="U36">
    <cfRule type="duplicateValues" dxfId="30" priority="20" stopIfTrue="1"/>
  </conditionalFormatting>
  <conditionalFormatting sqref="U37">
    <cfRule type="duplicateValues" dxfId="29" priority="15" stopIfTrue="1"/>
  </conditionalFormatting>
  <conditionalFormatting sqref="U38">
    <cfRule type="duplicateValues" dxfId="28" priority="10" stopIfTrue="1"/>
  </conditionalFormatting>
  <conditionalFormatting sqref="U39:U40">
    <cfRule type="duplicateValues" dxfId="27" priority="4" stopIfTrue="1"/>
  </conditionalFormatting>
  <conditionalFormatting sqref="U42">
    <cfRule type="duplicateValues" dxfId="26" priority="51" stopIfTrue="1"/>
  </conditionalFormatting>
  <conditionalFormatting sqref="U43">
    <cfRule type="duplicateValues" dxfId="25" priority="41" stopIfTrue="1"/>
  </conditionalFormatting>
  <conditionalFormatting sqref="U44 U46">
    <cfRule type="duplicateValues" dxfId="24" priority="38" stopIfTrue="1"/>
  </conditionalFormatting>
  <conditionalFormatting sqref="U45">
    <cfRule type="duplicateValues" dxfId="23" priority="1" stopIfTrue="1"/>
  </conditionalFormatting>
  <conditionalFormatting sqref="U48">
    <cfRule type="duplicateValues" dxfId="22" priority="49" stopIfTrue="1"/>
  </conditionalFormatting>
  <conditionalFormatting sqref="U49">
    <cfRule type="duplicateValues" dxfId="21" priority="46" stopIfTrue="1"/>
  </conditionalFormatting>
  <conditionalFormatting sqref="U50 U52">
    <cfRule type="duplicateValues" dxfId="20" priority="44" stopIfTrue="1"/>
  </conditionalFormatting>
  <conditionalFormatting sqref="U51">
    <cfRule type="duplicateValues" dxfId="19" priority="19" stopIfTrue="1"/>
  </conditionalFormatting>
  <conditionalFormatting sqref="U54:U55">
    <cfRule type="duplicateValues" dxfId="18" priority="48" stopIfTrue="1"/>
  </conditionalFormatting>
  <conditionalFormatting sqref="U58">
    <cfRule type="duplicateValues" dxfId="17" priority="61" stopIfTrue="1"/>
  </conditionalFormatting>
  <conditionalFormatting sqref="U59">
    <cfRule type="duplicateValues" dxfId="16" priority="52" stopIfTrue="1"/>
  </conditionalFormatting>
  <conditionalFormatting sqref="U60">
    <cfRule type="duplicateValues" dxfId="15" priority="50" stopIfTrue="1"/>
  </conditionalFormatting>
  <conditionalFormatting sqref="U61">
    <cfRule type="duplicateValues" dxfId="14" priority="47" stopIfTrue="1"/>
  </conditionalFormatting>
  <conditionalFormatting sqref="U62:U63">
    <cfRule type="duplicateValues" dxfId="13" priority="21" stopIfTrue="1"/>
  </conditionalFormatting>
  <conditionalFormatting sqref="U65">
    <cfRule type="duplicateValues" dxfId="12" priority="59" stopIfTrue="1"/>
  </conditionalFormatting>
  <conditionalFormatting sqref="U68">
    <cfRule type="duplicateValues" dxfId="11" priority="43" stopIfTrue="1"/>
  </conditionalFormatting>
  <conditionalFormatting sqref="U69">
    <cfRule type="duplicateValues" dxfId="10" priority="30" stopIfTrue="1"/>
  </conditionalFormatting>
  <conditionalFormatting sqref="U70:U71">
    <cfRule type="duplicateValues" dxfId="9" priority="29" stopIfTrue="1"/>
  </conditionalFormatting>
  <conditionalFormatting sqref="U73">
    <cfRule type="duplicateValues" dxfId="8" priority="42" stopIfTrue="1"/>
  </conditionalFormatting>
  <conditionalFormatting sqref="U74">
    <cfRule type="duplicateValues" dxfId="7" priority="35" stopIfTrue="1"/>
  </conditionalFormatting>
  <conditionalFormatting sqref="U75">
    <cfRule type="duplicateValues" dxfId="6" priority="18" stopIfTrue="1"/>
  </conditionalFormatting>
  <conditionalFormatting sqref="U76">
    <cfRule type="duplicateValues" dxfId="5" priority="14" stopIfTrue="1"/>
  </conditionalFormatting>
  <conditionalFormatting sqref="U77">
    <cfRule type="duplicateValues" dxfId="4" priority="7" stopIfTrue="1"/>
  </conditionalFormatting>
  <conditionalFormatting sqref="U78:U79">
    <cfRule type="duplicateValues" dxfId="3" priority="2" stopIfTrue="1"/>
  </conditionalFormatting>
  <conditionalFormatting sqref="U81">
    <cfRule type="duplicateValues" dxfId="2" priority="22" stopIfTrue="1"/>
  </conditionalFormatting>
  <conditionalFormatting sqref="U84">
    <cfRule type="duplicateValues" dxfId="1" priority="5" stopIfTrue="1"/>
  </conditionalFormatting>
  <conditionalFormatting sqref="U85 U18">
    <cfRule type="duplicateValues" dxfId="0" priority="6" stopIfTrue="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Sheet1</vt:lpstr>
      <vt:lpstr>主题分类检索</vt:lpstr>
      <vt:lpstr>HVAC</vt:lpstr>
      <vt:lpstr>ventilation</vt:lpstr>
      <vt:lpstr>indoor air quality(IAQ)</vt:lpstr>
      <vt:lpstr>building performance</vt:lpstr>
      <vt:lpstr>energy</vt:lpstr>
      <vt:lpstr>urban</vt:lpstr>
      <vt:lpstr>occupant behavior</vt:lpstr>
      <vt:lpstr>thermal comfort</vt:lpstr>
      <vt:lpstr>building environment</vt:lpstr>
      <vt:lpstr>particle</vt:lpstr>
      <vt:lpstr>PV</vt:lpstr>
      <vt:lpstr>daylighting</vt:lpstr>
      <vt:lpstr>PCM</vt:lpstr>
      <vt:lpstr>datadriven and machine learning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 zeng</dc:creator>
  <cp:lastModifiedBy>Jie Zeng</cp:lastModifiedBy>
  <dcterms:created xsi:type="dcterms:W3CDTF">2024-01-11T11:15:39Z</dcterms:created>
  <dcterms:modified xsi:type="dcterms:W3CDTF">2026-03-19T03:47:34Z</dcterms:modified>
</cp:coreProperties>
</file>